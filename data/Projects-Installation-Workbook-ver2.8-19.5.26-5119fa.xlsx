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ush.CORM\Desktop\"/>
    </mc:Choice>
  </mc:AlternateContent>
  <xr:revisionPtr revIDLastSave="0" documentId="8_{1B2251C6-66CF-4113-B867-B571C0473A62}" xr6:coauthVersionLast="47" xr6:coauthVersionMax="47" xr10:uidLastSave="{00000000-0000-0000-0000-000000000000}"/>
  <workbookProtection workbookAlgorithmName="SHA-512" workbookHashValue="cZgFSwIfQM/mfXvtyXEw4MJB/FYkyZKfGxdr7hl9vxtY/Mj4SFKXGbQ59G9iK3ieMBiI7W5hM8A0ZU9xo4hgZw==" workbookSaltValue="v+fI5IufN5xFeog3dJgcKw==" workbookSpinCount="100000" lockStructure="1"/>
  <bookViews>
    <workbookView xWindow="-108" yWindow="-108" windowWidth="23256" windowHeight="12456" tabRatio="843" xr2:uid="{00000000-000D-0000-FFFF-FFFF00000000}"/>
  </bookViews>
  <sheets>
    <sheet name=" 1.INSTALL FIRE " sheetId="11" r:id="rId1"/>
    <sheet name=" 2.INSTALL FIRE  " sheetId="17" r:id="rId2"/>
    <sheet name="Sheet1" sheetId="18" r:id="rId3"/>
  </sheets>
  <definedNames>
    <definedName name="_xlnm.Print_Area" localSheetId="0">' 1.INSTALL FIRE '!$A$1:$I$200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11" l="1"/>
  <c r="F128" i="11" s="1"/>
  <c r="E127" i="11"/>
  <c r="F127" i="11" s="1"/>
  <c r="H128" i="11"/>
  <c r="H127" i="11"/>
  <c r="C135" i="11"/>
  <c r="P20" i="11" l="1"/>
  <c r="Q20" i="11" s="1"/>
  <c r="P19" i="11"/>
  <c r="P18" i="11"/>
  <c r="Q17" i="11"/>
  <c r="R20" i="11" s="1"/>
  <c r="Q11" i="11"/>
  <c r="P14" i="11"/>
  <c r="Q14" i="11" s="1"/>
  <c r="P13" i="11"/>
  <c r="P12" i="11"/>
  <c r="Q13" i="11" s="1"/>
  <c r="Q5" i="11"/>
  <c r="P8" i="11"/>
  <c r="Q8" i="11" s="1"/>
  <c r="P6" i="11"/>
  <c r="P7" i="11"/>
  <c r="E156" i="11"/>
  <c r="F156" i="11" s="1"/>
  <c r="E155" i="11"/>
  <c r="F155" i="11" s="1"/>
  <c r="E157" i="11"/>
  <c r="F157" i="11" s="1"/>
  <c r="B38" i="11"/>
  <c r="G34" i="11"/>
  <c r="B36" i="11"/>
  <c r="B34" i="11"/>
  <c r="B35" i="11"/>
  <c r="C50" i="11"/>
  <c r="H135" i="11"/>
  <c r="E142" i="11"/>
  <c r="F142" i="11" s="1"/>
  <c r="H142" i="11"/>
  <c r="E143" i="11"/>
  <c r="F143" i="11" s="1"/>
  <c r="H143" i="11"/>
  <c r="E144" i="11"/>
  <c r="F144" i="11" s="1"/>
  <c r="H144" i="11"/>
  <c r="E145" i="11"/>
  <c r="F145" i="11" s="1"/>
  <c r="H145" i="11"/>
  <c r="E146" i="11"/>
  <c r="F146" i="11" s="1"/>
  <c r="H146" i="11"/>
  <c r="E147" i="11"/>
  <c r="F147" i="11" s="1"/>
  <c r="H147" i="11"/>
  <c r="E148" i="11"/>
  <c r="F148" i="11" s="1"/>
  <c r="H148" i="11"/>
  <c r="E149" i="11"/>
  <c r="F149" i="11" s="1"/>
  <c r="H149" i="11"/>
  <c r="E150" i="11"/>
  <c r="F150" i="11" s="1"/>
  <c r="H150" i="11"/>
  <c r="Q19" i="11" l="1"/>
  <c r="R19" i="11" s="1"/>
  <c r="R13" i="11"/>
  <c r="Q7" i="11"/>
  <c r="R7" i="11" s="1"/>
  <c r="R8" i="11"/>
  <c r="R14" i="11"/>
  <c r="E135" i="11"/>
  <c r="F135" i="11" s="1"/>
  <c r="H137" i="11" l="1"/>
  <c r="E137" i="11"/>
  <c r="F137" i="11" s="1"/>
  <c r="H120" i="11" l="1"/>
  <c r="H119" i="11"/>
  <c r="H118" i="11"/>
  <c r="H117" i="11"/>
  <c r="H116" i="11"/>
  <c r="G64" i="11"/>
  <c r="G61" i="11"/>
  <c r="G57" i="11"/>
  <c r="G56" i="11"/>
  <c r="G53" i="11"/>
  <c r="G52" i="11"/>
  <c r="G49" i="11"/>
  <c r="G44" i="11"/>
  <c r="G45" i="11"/>
  <c r="G41" i="11"/>
  <c r="G40" i="11"/>
  <c r="H172" i="11"/>
  <c r="H171" i="11"/>
  <c r="H40" i="11" l="1"/>
  <c r="H39" i="11"/>
  <c r="H71" i="11"/>
  <c r="H70" i="11"/>
  <c r="H44" i="11"/>
  <c r="C58" i="11"/>
  <c r="C54" i="11"/>
  <c r="C46" i="11"/>
  <c r="H46" i="11" s="1"/>
  <c r="E44" i="11"/>
  <c r="F44" i="11" s="1"/>
  <c r="C42" i="11"/>
  <c r="E40" i="11"/>
  <c r="F40" i="11" s="1"/>
  <c r="H45" i="11"/>
  <c r="E45" i="11"/>
  <c r="F45" i="11" s="1"/>
  <c r="H43" i="11"/>
  <c r="E43" i="11"/>
  <c r="H57" i="11"/>
  <c r="E57" i="11"/>
  <c r="F57" i="11" s="1"/>
  <c r="H56" i="11"/>
  <c r="E56" i="11"/>
  <c r="F56" i="11" s="1"/>
  <c r="H55" i="11"/>
  <c r="E55" i="11"/>
  <c r="H42" i="11" l="1"/>
  <c r="H54" i="11"/>
  <c r="H58" i="11"/>
  <c r="E46" i="11"/>
  <c r="F46" i="11" s="1"/>
  <c r="F43" i="11"/>
  <c r="E58" i="11"/>
  <c r="F55" i="11"/>
  <c r="F58" i="11" s="1"/>
  <c r="C28" i="11" l="1"/>
  <c r="C124" i="11" l="1"/>
  <c r="C123" i="11"/>
  <c r="H123" i="11" s="1"/>
  <c r="E25" i="11"/>
  <c r="E24" i="11"/>
  <c r="F24" i="11" s="1"/>
  <c r="E23" i="11"/>
  <c r="F23" i="11" s="1"/>
  <c r="E22" i="11"/>
  <c r="F22" i="11" s="1"/>
  <c r="E21" i="11"/>
  <c r="F21" i="11" s="1"/>
  <c r="E20" i="11"/>
  <c r="F20" i="11" s="1"/>
  <c r="E19" i="11"/>
  <c r="F19" i="11" s="1"/>
  <c r="E18" i="11"/>
  <c r="F18" i="11" s="1"/>
  <c r="E17" i="11"/>
  <c r="F17" i="11" s="1"/>
  <c r="E16" i="11"/>
  <c r="F16" i="11" s="1"/>
  <c r="E15" i="11"/>
  <c r="F15" i="11" s="1"/>
  <c r="E14" i="11"/>
  <c r="F14" i="11" s="1"/>
  <c r="E13" i="11"/>
  <c r="F13" i="11" s="1"/>
  <c r="E12" i="11"/>
  <c r="F12" i="11" s="1"/>
  <c r="E10" i="11"/>
  <c r="F27" i="11"/>
  <c r="F26" i="11"/>
  <c r="H184" i="11"/>
  <c r="H183" i="11"/>
  <c r="H182" i="11"/>
  <c r="H181" i="11"/>
  <c r="H180" i="11"/>
  <c r="H179" i="11"/>
  <c r="H178" i="11"/>
  <c r="H177" i="11"/>
  <c r="E184" i="11"/>
  <c r="F184" i="11" s="1"/>
  <c r="E183" i="11"/>
  <c r="F183" i="11" s="1"/>
  <c r="E182" i="11"/>
  <c r="F182" i="11" s="1"/>
  <c r="E181" i="11"/>
  <c r="F181" i="11" s="1"/>
  <c r="E180" i="11"/>
  <c r="F180" i="11" s="1"/>
  <c r="E179" i="11"/>
  <c r="F179" i="11" s="1"/>
  <c r="E178" i="11"/>
  <c r="F178" i="11" s="1"/>
  <c r="E177" i="11"/>
  <c r="F177" i="11" s="1"/>
  <c r="E174" i="11"/>
  <c r="F174" i="11" s="1"/>
  <c r="E173" i="11"/>
  <c r="F173" i="11" s="1"/>
  <c r="E171" i="11"/>
  <c r="F171" i="11" s="1"/>
  <c r="E170" i="11"/>
  <c r="F170" i="11" s="1"/>
  <c r="E169" i="11"/>
  <c r="F169" i="11" s="1"/>
  <c r="E168" i="11"/>
  <c r="F168" i="11" s="1"/>
  <c r="E167" i="11"/>
  <c r="F167" i="11" s="1"/>
  <c r="E166" i="11"/>
  <c r="F166" i="11" s="1"/>
  <c r="E165" i="11"/>
  <c r="F165" i="11" s="1"/>
  <c r="E164" i="11"/>
  <c r="F164" i="11" s="1"/>
  <c r="E163" i="11"/>
  <c r="F163" i="11" s="1"/>
  <c r="E162" i="11"/>
  <c r="F162" i="11" s="1"/>
  <c r="F185" i="11" l="1"/>
  <c r="D197" i="11" s="1"/>
  <c r="H185" i="11"/>
  <c r="E185" i="11"/>
  <c r="C197" i="11" s="1"/>
  <c r="F197" i="11" l="1"/>
  <c r="E197" i="11"/>
  <c r="H173" i="11"/>
  <c r="H174" i="11"/>
  <c r="H169" i="11"/>
  <c r="H168" i="11"/>
  <c r="H167" i="11"/>
  <c r="H166" i="11"/>
  <c r="H165" i="11"/>
  <c r="H170" i="11"/>
  <c r="H164" i="11"/>
  <c r="H163" i="11"/>
  <c r="H162" i="11"/>
  <c r="H161" i="11"/>
  <c r="H160" i="11"/>
  <c r="H158" i="11"/>
  <c r="H157" i="11"/>
  <c r="H175" i="11" l="1"/>
  <c r="E158" i="11"/>
  <c r="F158" i="11" s="1"/>
  <c r="E154" i="11"/>
  <c r="F154" i="11" s="1"/>
  <c r="E153" i="11"/>
  <c r="F153" i="11" s="1"/>
  <c r="E152" i="11"/>
  <c r="F152" i="11" s="1"/>
  <c r="E151" i="11"/>
  <c r="F151" i="11" s="1"/>
  <c r="H156" i="11"/>
  <c r="H155" i="11"/>
  <c r="H154" i="11"/>
  <c r="H153" i="11"/>
  <c r="H152" i="11"/>
  <c r="H151" i="11"/>
  <c r="E110" i="11"/>
  <c r="F110" i="11" s="1"/>
  <c r="H110" i="11"/>
  <c r="E108" i="11"/>
  <c r="F108" i="11" s="1"/>
  <c r="H108" i="11"/>
  <c r="E98" i="11"/>
  <c r="F98" i="11" s="1"/>
  <c r="H98" i="11"/>
  <c r="E120" i="11"/>
  <c r="F120" i="11" s="1"/>
  <c r="E119" i="11"/>
  <c r="F119" i="11" s="1"/>
  <c r="E118" i="11"/>
  <c r="F118" i="11" s="1"/>
  <c r="E117" i="11"/>
  <c r="F117" i="11" s="1"/>
  <c r="E116" i="11"/>
  <c r="F116" i="11" s="1"/>
  <c r="E115" i="11"/>
  <c r="F115" i="11" s="1"/>
  <c r="H115" i="11"/>
  <c r="H114" i="11"/>
  <c r="H113" i="11"/>
  <c r="H112" i="11"/>
  <c r="H111" i="11"/>
  <c r="H103" i="11"/>
  <c r="H109" i="11"/>
  <c r="H106" i="11"/>
  <c r="H105" i="11"/>
  <c r="H107" i="11"/>
  <c r="H102" i="11"/>
  <c r="H101" i="11"/>
  <c r="H100" i="11"/>
  <c r="H99" i="11"/>
  <c r="H97" i="11"/>
  <c r="H95" i="11"/>
  <c r="H94" i="11"/>
  <c r="H93" i="11"/>
  <c r="H92" i="11"/>
  <c r="H91" i="11"/>
  <c r="H90" i="11"/>
  <c r="H89" i="11"/>
  <c r="H88" i="11"/>
  <c r="H87" i="11"/>
  <c r="H86" i="11"/>
  <c r="H84" i="11"/>
  <c r="H83" i="11"/>
  <c r="H82" i="11"/>
  <c r="H81" i="11"/>
  <c r="H80" i="11"/>
  <c r="H79" i="11"/>
  <c r="E90" i="11"/>
  <c r="F90" i="11" s="1"/>
  <c r="E97" i="11"/>
  <c r="F97" i="11" s="1"/>
  <c r="E99" i="11"/>
  <c r="F99" i="11" s="1"/>
  <c r="E84" i="11"/>
  <c r="F84" i="11" s="1"/>
  <c r="E161" i="11"/>
  <c r="E160" i="11"/>
  <c r="F160" i="11" s="1"/>
  <c r="E123" i="11"/>
  <c r="E114" i="11"/>
  <c r="F114" i="11" s="1"/>
  <c r="E113" i="11"/>
  <c r="F113" i="11" s="1"/>
  <c r="E112" i="11"/>
  <c r="F112" i="11" s="1"/>
  <c r="E111" i="11"/>
  <c r="F111" i="11" s="1"/>
  <c r="E103" i="11"/>
  <c r="F103" i="11" s="1"/>
  <c r="E109" i="11"/>
  <c r="F109" i="11" s="1"/>
  <c r="E106" i="11"/>
  <c r="F106" i="11" s="1"/>
  <c r="E105" i="11"/>
  <c r="F105" i="11" s="1"/>
  <c r="E107" i="11"/>
  <c r="F107" i="11" s="1"/>
  <c r="E102" i="11"/>
  <c r="F102" i="11" s="1"/>
  <c r="E101" i="11"/>
  <c r="F101" i="11" s="1"/>
  <c r="E100" i="11"/>
  <c r="F100" i="11" s="1"/>
  <c r="E89" i="11"/>
  <c r="F89" i="11" s="1"/>
  <c r="E95" i="11"/>
  <c r="F95" i="11" s="1"/>
  <c r="E94" i="11"/>
  <c r="F94" i="11" s="1"/>
  <c r="E93" i="11"/>
  <c r="F93" i="11" s="1"/>
  <c r="E91" i="11"/>
  <c r="F91" i="11" s="1"/>
  <c r="E80" i="11"/>
  <c r="F80" i="11" s="1"/>
  <c r="E92" i="11"/>
  <c r="F92" i="11" s="1"/>
  <c r="E83" i="11"/>
  <c r="F83" i="11" s="1"/>
  <c r="E82" i="11"/>
  <c r="F82" i="11" s="1"/>
  <c r="E81" i="11"/>
  <c r="F81" i="11" s="1"/>
  <c r="E79" i="11"/>
  <c r="E88" i="11"/>
  <c r="F88" i="11" s="1"/>
  <c r="E87" i="11"/>
  <c r="F87" i="11" s="1"/>
  <c r="E86" i="11"/>
  <c r="F86" i="11" s="1"/>
  <c r="E75" i="11"/>
  <c r="F75" i="11" s="1"/>
  <c r="E74" i="11"/>
  <c r="F74" i="11" s="1"/>
  <c r="E73" i="11"/>
  <c r="F73" i="11" s="1"/>
  <c r="E72" i="11"/>
  <c r="F72" i="11" s="1"/>
  <c r="E71" i="11"/>
  <c r="E70" i="11"/>
  <c r="E69" i="11"/>
  <c r="E68" i="11"/>
  <c r="E67" i="11"/>
  <c r="E64" i="11"/>
  <c r="F64" i="11" s="1"/>
  <c r="E63" i="11"/>
  <c r="F63" i="11" s="1"/>
  <c r="E61" i="11"/>
  <c r="F61" i="11" s="1"/>
  <c r="E60" i="11"/>
  <c r="H75" i="11"/>
  <c r="H74" i="11"/>
  <c r="H73" i="11"/>
  <c r="H72" i="11"/>
  <c r="H69" i="11"/>
  <c r="H68" i="11"/>
  <c r="H67" i="11"/>
  <c r="H63" i="11"/>
  <c r="H64" i="11"/>
  <c r="H49" i="11"/>
  <c r="H53" i="11"/>
  <c r="H52" i="11"/>
  <c r="H61" i="11"/>
  <c r="C65" i="11"/>
  <c r="H65" i="11" s="1"/>
  <c r="H60" i="11"/>
  <c r="E53" i="11"/>
  <c r="F53" i="11" s="1"/>
  <c r="E52" i="11"/>
  <c r="F52" i="11" s="1"/>
  <c r="E51" i="11"/>
  <c r="F51" i="11" s="1"/>
  <c r="C62" i="11"/>
  <c r="H62" i="11" s="1"/>
  <c r="G36" i="11"/>
  <c r="G35" i="11"/>
  <c r="H51" i="11"/>
  <c r="E49" i="11"/>
  <c r="F49" i="11" s="1"/>
  <c r="E48" i="11"/>
  <c r="E41" i="11"/>
  <c r="F41" i="11" s="1"/>
  <c r="E39" i="11"/>
  <c r="F39" i="11" s="1"/>
  <c r="H48" i="11"/>
  <c r="H50" i="11"/>
  <c r="E189" i="11" s="1"/>
  <c r="E37" i="11"/>
  <c r="F37" i="11" s="1"/>
  <c r="H159" i="11" l="1"/>
  <c r="E194" i="11" s="1"/>
  <c r="H41" i="11"/>
  <c r="F196" i="11"/>
  <c r="E196" i="11"/>
  <c r="E159" i="11"/>
  <c r="C194" i="11" s="1"/>
  <c r="D194" i="11" s="1"/>
  <c r="F161" i="11"/>
  <c r="F175" i="11" s="1"/>
  <c r="E175" i="11"/>
  <c r="C196" i="11" s="1"/>
  <c r="D196" i="11" s="1"/>
  <c r="F123" i="11"/>
  <c r="H121" i="11"/>
  <c r="E195" i="11" s="1"/>
  <c r="F79" i="11"/>
  <c r="E121" i="11"/>
  <c r="C195" i="11" s="1"/>
  <c r="D195" i="11" s="1"/>
  <c r="E124" i="11"/>
  <c r="F124" i="11" s="1"/>
  <c r="H124" i="11"/>
  <c r="H76" i="11"/>
  <c r="F65" i="11"/>
  <c r="E65" i="11"/>
  <c r="E50" i="11"/>
  <c r="F48" i="11"/>
  <c r="E42" i="11"/>
  <c r="F42" i="11" s="1"/>
  <c r="F194" i="11" l="1"/>
  <c r="F195" i="11"/>
  <c r="F121" i="11"/>
  <c r="E190" i="11"/>
  <c r="F50" i="11"/>
  <c r="H37" i="11"/>
  <c r="E11" i="11" l="1"/>
  <c r="F11" i="11" s="1"/>
  <c r="C35" i="11" l="1"/>
  <c r="C136" i="11" s="1"/>
  <c r="M124" i="17"/>
  <c r="N124" i="17" s="1"/>
  <c r="U124" i="17" s="1"/>
  <c r="G124" i="17"/>
  <c r="H124" i="17" s="1"/>
  <c r="T124" i="17" s="1"/>
  <c r="M123" i="17"/>
  <c r="N123" i="17" s="1"/>
  <c r="G123" i="17"/>
  <c r="H123" i="17" s="1"/>
  <c r="M122" i="17"/>
  <c r="N122" i="17" s="1"/>
  <c r="U122" i="17" s="1"/>
  <c r="G122" i="17"/>
  <c r="H122" i="17" s="1"/>
  <c r="M121" i="17"/>
  <c r="N121" i="17" s="1"/>
  <c r="G121" i="17"/>
  <c r="H121" i="17" s="1"/>
  <c r="J121" i="17" s="1"/>
  <c r="M120" i="17"/>
  <c r="N120" i="17" s="1"/>
  <c r="P120" i="17" s="1"/>
  <c r="Q120" i="17" s="1"/>
  <c r="G120" i="17"/>
  <c r="H120" i="17" s="1"/>
  <c r="M119" i="17"/>
  <c r="N119" i="17" s="1"/>
  <c r="G119" i="17"/>
  <c r="H119" i="17" s="1"/>
  <c r="M118" i="17"/>
  <c r="N118" i="17" s="1"/>
  <c r="G118" i="17"/>
  <c r="H118" i="17" s="1"/>
  <c r="T118" i="17" s="1"/>
  <c r="M117" i="17"/>
  <c r="N117" i="17" s="1"/>
  <c r="G117" i="17"/>
  <c r="H117" i="17" s="1"/>
  <c r="J117" i="17" s="1"/>
  <c r="M116" i="17"/>
  <c r="N116" i="17" s="1"/>
  <c r="G116" i="17"/>
  <c r="H116" i="17" s="1"/>
  <c r="T116" i="17" s="1"/>
  <c r="M115" i="17"/>
  <c r="N115" i="17" s="1"/>
  <c r="G115" i="17"/>
  <c r="H115" i="17" s="1"/>
  <c r="J115" i="17" s="1"/>
  <c r="M114" i="17"/>
  <c r="N114" i="17" s="1"/>
  <c r="G114" i="17"/>
  <c r="H114" i="17" s="1"/>
  <c r="T114" i="17" s="1"/>
  <c r="M113" i="17"/>
  <c r="N113" i="17" s="1"/>
  <c r="G113" i="17"/>
  <c r="H113" i="17" s="1"/>
  <c r="T113" i="17" s="1"/>
  <c r="M112" i="17"/>
  <c r="N112" i="17" s="1"/>
  <c r="G112" i="17"/>
  <c r="H112" i="17" s="1"/>
  <c r="T112" i="17" s="1"/>
  <c r="M111" i="17"/>
  <c r="N111" i="17" s="1"/>
  <c r="G111" i="17"/>
  <c r="H111" i="17" s="1"/>
  <c r="J111" i="17" s="1"/>
  <c r="K111" i="17" s="1"/>
  <c r="M110" i="17"/>
  <c r="N110" i="17" s="1"/>
  <c r="G110" i="17"/>
  <c r="H110" i="17" s="1"/>
  <c r="M109" i="17"/>
  <c r="N109" i="17" s="1"/>
  <c r="G109" i="17"/>
  <c r="H109" i="17" s="1"/>
  <c r="T109" i="17" s="1"/>
  <c r="M108" i="17"/>
  <c r="N108" i="17" s="1"/>
  <c r="G108" i="17"/>
  <c r="H108" i="17" s="1"/>
  <c r="T108" i="17" s="1"/>
  <c r="M107" i="17"/>
  <c r="N107" i="17" s="1"/>
  <c r="G107" i="17"/>
  <c r="H107" i="17" s="1"/>
  <c r="T107" i="17" s="1"/>
  <c r="M106" i="17"/>
  <c r="N106" i="17" s="1"/>
  <c r="G106" i="17"/>
  <c r="H106" i="17" s="1"/>
  <c r="T106" i="17" s="1"/>
  <c r="M105" i="17"/>
  <c r="N105" i="17" s="1"/>
  <c r="G105" i="17"/>
  <c r="H105" i="17" s="1"/>
  <c r="M104" i="17"/>
  <c r="N104" i="17" s="1"/>
  <c r="U104" i="17" s="1"/>
  <c r="G104" i="17"/>
  <c r="H104" i="17" s="1"/>
  <c r="T104" i="17" s="1"/>
  <c r="M103" i="17"/>
  <c r="N103" i="17" s="1"/>
  <c r="G103" i="17"/>
  <c r="H103" i="17" s="1"/>
  <c r="T103" i="17" s="1"/>
  <c r="M102" i="17"/>
  <c r="N102" i="17" s="1"/>
  <c r="U102" i="17" s="1"/>
  <c r="G102" i="17"/>
  <c r="H102" i="17" s="1"/>
  <c r="T102" i="17" s="1"/>
  <c r="M101" i="17"/>
  <c r="N101" i="17" s="1"/>
  <c r="U101" i="17" s="1"/>
  <c r="G101" i="17"/>
  <c r="H101" i="17" s="1"/>
  <c r="T101" i="17" s="1"/>
  <c r="M100" i="17"/>
  <c r="N100" i="17" s="1"/>
  <c r="G100" i="17"/>
  <c r="H100" i="17" s="1"/>
  <c r="T100" i="17" s="1"/>
  <c r="M99" i="17"/>
  <c r="N99" i="17" s="1"/>
  <c r="U99" i="17" s="1"/>
  <c r="G99" i="17"/>
  <c r="H99" i="17" s="1"/>
  <c r="T99" i="17" s="1"/>
  <c r="M98" i="17"/>
  <c r="N98" i="17" s="1"/>
  <c r="U98" i="17" s="1"/>
  <c r="G98" i="17"/>
  <c r="H98" i="17" s="1"/>
  <c r="T98" i="17" s="1"/>
  <c r="M97" i="17"/>
  <c r="N97" i="17" s="1"/>
  <c r="G97" i="17"/>
  <c r="H97" i="17" s="1"/>
  <c r="J97" i="17" s="1"/>
  <c r="K97" i="17" s="1"/>
  <c r="M96" i="17"/>
  <c r="N96" i="17" s="1"/>
  <c r="U96" i="17" s="1"/>
  <c r="G96" i="17"/>
  <c r="H96" i="17" s="1"/>
  <c r="T96" i="17" s="1"/>
  <c r="M95" i="17"/>
  <c r="N95" i="17" s="1"/>
  <c r="U95" i="17" s="1"/>
  <c r="G95" i="17"/>
  <c r="H95" i="17" s="1"/>
  <c r="T95" i="17" s="1"/>
  <c r="M94" i="17"/>
  <c r="N94" i="17" s="1"/>
  <c r="G94" i="17"/>
  <c r="H94" i="17" s="1"/>
  <c r="T94" i="17" s="1"/>
  <c r="J94" i="17" s="1"/>
  <c r="M93" i="17"/>
  <c r="N93" i="17" s="1"/>
  <c r="G93" i="17"/>
  <c r="H93" i="17" s="1"/>
  <c r="T93" i="17" s="1"/>
  <c r="M92" i="17"/>
  <c r="N92" i="17" s="1"/>
  <c r="U92" i="17" s="1"/>
  <c r="G92" i="17"/>
  <c r="H92" i="17" s="1"/>
  <c r="T92" i="17" s="1"/>
  <c r="J92" i="17" s="1"/>
  <c r="K92" i="17" s="1"/>
  <c r="M91" i="17"/>
  <c r="N91" i="17" s="1"/>
  <c r="G91" i="17"/>
  <c r="H91" i="17" s="1"/>
  <c r="T91" i="17" s="1"/>
  <c r="M90" i="17"/>
  <c r="N90" i="17" s="1"/>
  <c r="G90" i="17"/>
  <c r="H90" i="17" s="1"/>
  <c r="T90" i="17" s="1"/>
  <c r="M89" i="17"/>
  <c r="N89" i="17" s="1"/>
  <c r="U89" i="17" s="1"/>
  <c r="G89" i="17"/>
  <c r="H89" i="17" s="1"/>
  <c r="T89" i="17" s="1"/>
  <c r="J89" i="17" s="1"/>
  <c r="M88" i="17"/>
  <c r="N88" i="17" s="1"/>
  <c r="G88" i="17"/>
  <c r="H88" i="17" s="1"/>
  <c r="M87" i="17"/>
  <c r="N87" i="17" s="1"/>
  <c r="U87" i="17" s="1"/>
  <c r="G87" i="17"/>
  <c r="H87" i="17" s="1"/>
  <c r="T87" i="17" s="1"/>
  <c r="M86" i="17"/>
  <c r="N86" i="17" s="1"/>
  <c r="U86" i="17" s="1"/>
  <c r="G86" i="17"/>
  <c r="H86" i="17" s="1"/>
  <c r="T86" i="17" s="1"/>
  <c r="M85" i="17"/>
  <c r="N85" i="17" s="1"/>
  <c r="G85" i="17"/>
  <c r="H85" i="17" s="1"/>
  <c r="T85" i="17" s="1"/>
  <c r="J85" i="17" s="1"/>
  <c r="M84" i="17"/>
  <c r="N84" i="17" s="1"/>
  <c r="U84" i="17" s="1"/>
  <c r="G84" i="17"/>
  <c r="H84" i="17" s="1"/>
  <c r="M83" i="17"/>
  <c r="N83" i="17" s="1"/>
  <c r="G83" i="17"/>
  <c r="H83" i="17" s="1"/>
  <c r="T83" i="17" s="1"/>
  <c r="M82" i="17"/>
  <c r="N82" i="17" s="1"/>
  <c r="U82" i="17" s="1"/>
  <c r="P82" i="17" s="1"/>
  <c r="Q82" i="17" s="1"/>
  <c r="G82" i="17"/>
  <c r="H82" i="17" s="1"/>
  <c r="T82" i="17" s="1"/>
  <c r="M81" i="17"/>
  <c r="N81" i="17" s="1"/>
  <c r="U81" i="17" s="1"/>
  <c r="G81" i="17"/>
  <c r="H81" i="17" s="1"/>
  <c r="M80" i="17"/>
  <c r="N80" i="17" s="1"/>
  <c r="G80" i="17"/>
  <c r="H80" i="17" s="1"/>
  <c r="T80" i="17" s="1"/>
  <c r="M79" i="17"/>
  <c r="N79" i="17" s="1"/>
  <c r="G79" i="17"/>
  <c r="H79" i="17" s="1"/>
  <c r="T79" i="17" s="1"/>
  <c r="J79" i="17" s="1"/>
  <c r="M78" i="17"/>
  <c r="N78" i="17" s="1"/>
  <c r="U78" i="17" s="1"/>
  <c r="G78" i="17"/>
  <c r="H78" i="17" s="1"/>
  <c r="M77" i="17"/>
  <c r="N77" i="17" s="1"/>
  <c r="P77" i="17" s="1"/>
  <c r="Q77" i="17" s="1"/>
  <c r="G77" i="17"/>
  <c r="H77" i="17" s="1"/>
  <c r="T77" i="17" s="1"/>
  <c r="M76" i="17"/>
  <c r="N76" i="17" s="1"/>
  <c r="G76" i="17"/>
  <c r="H76" i="17" s="1"/>
  <c r="M75" i="17"/>
  <c r="N75" i="17" s="1"/>
  <c r="U75" i="17" s="1"/>
  <c r="G75" i="17"/>
  <c r="H75" i="17" s="1"/>
  <c r="M74" i="17"/>
  <c r="N74" i="17" s="1"/>
  <c r="G74" i="17"/>
  <c r="H74" i="17" s="1"/>
  <c r="T74" i="17" s="1"/>
  <c r="M73" i="17"/>
  <c r="N73" i="17" s="1"/>
  <c r="G73" i="17"/>
  <c r="H73" i="17" s="1"/>
  <c r="J73" i="17" s="1"/>
  <c r="M72" i="17"/>
  <c r="N72" i="17" s="1"/>
  <c r="G72" i="17"/>
  <c r="H72" i="17" s="1"/>
  <c r="M71" i="17"/>
  <c r="N71" i="17" s="1"/>
  <c r="P71" i="17" s="1"/>
  <c r="Q71" i="17" s="1"/>
  <c r="G71" i="17"/>
  <c r="H71" i="17" s="1"/>
  <c r="T71" i="17" s="1"/>
  <c r="M70" i="17"/>
  <c r="N70" i="17" s="1"/>
  <c r="G70" i="17"/>
  <c r="H70" i="17" s="1"/>
  <c r="J70" i="17" s="1"/>
  <c r="M69" i="17"/>
  <c r="N69" i="17" s="1"/>
  <c r="U69" i="17" s="1"/>
  <c r="G69" i="17"/>
  <c r="H69" i="17" s="1"/>
  <c r="M68" i="17"/>
  <c r="N68" i="17" s="1"/>
  <c r="G68" i="17"/>
  <c r="H68" i="17" s="1"/>
  <c r="T68" i="17" s="1"/>
  <c r="M67" i="17"/>
  <c r="N67" i="17" s="1"/>
  <c r="U67" i="17" s="1"/>
  <c r="G67" i="17"/>
  <c r="H67" i="17" s="1"/>
  <c r="T67" i="17" s="1"/>
  <c r="J67" i="17" s="1"/>
  <c r="M66" i="17"/>
  <c r="N66" i="17" s="1"/>
  <c r="U66" i="17" s="1"/>
  <c r="G66" i="17"/>
  <c r="H66" i="17" s="1"/>
  <c r="M65" i="17"/>
  <c r="N65" i="17" s="1"/>
  <c r="G65" i="17"/>
  <c r="H65" i="17" s="1"/>
  <c r="T65" i="17" s="1"/>
  <c r="M64" i="17"/>
  <c r="N64" i="17" s="1"/>
  <c r="G64" i="17"/>
  <c r="H64" i="17" s="1"/>
  <c r="T64" i="17" s="1"/>
  <c r="M63" i="17"/>
  <c r="N63" i="17" s="1"/>
  <c r="U63" i="17" s="1"/>
  <c r="G63" i="17"/>
  <c r="H63" i="17" s="1"/>
  <c r="M62" i="17"/>
  <c r="N62" i="17" s="1"/>
  <c r="G62" i="17"/>
  <c r="H62" i="17" s="1"/>
  <c r="T62" i="17" s="1"/>
  <c r="M61" i="17"/>
  <c r="N61" i="17" s="1"/>
  <c r="G61" i="17"/>
  <c r="H61" i="17" s="1"/>
  <c r="M60" i="17"/>
  <c r="N60" i="17" s="1"/>
  <c r="G60" i="17"/>
  <c r="H60" i="17" s="1"/>
  <c r="M59" i="17"/>
  <c r="N59" i="17" s="1"/>
  <c r="G59" i="17"/>
  <c r="H59" i="17" s="1"/>
  <c r="M58" i="17"/>
  <c r="N58" i="17" s="1"/>
  <c r="G58" i="17"/>
  <c r="H58" i="17" s="1"/>
  <c r="J58" i="17" s="1"/>
  <c r="M57" i="17"/>
  <c r="N57" i="17" s="1"/>
  <c r="G57" i="17"/>
  <c r="H57" i="17" s="1"/>
  <c r="J57" i="17" s="1"/>
  <c r="K57" i="17" s="1"/>
  <c r="M56" i="17"/>
  <c r="N56" i="17" s="1"/>
  <c r="G56" i="17"/>
  <c r="H56" i="17" s="1"/>
  <c r="J56" i="17" s="1"/>
  <c r="K56" i="17" s="1"/>
  <c r="M55" i="17"/>
  <c r="N55" i="17" s="1"/>
  <c r="G55" i="17"/>
  <c r="H55" i="17" s="1"/>
  <c r="M54" i="17"/>
  <c r="N54" i="17" s="1"/>
  <c r="G54" i="17"/>
  <c r="H54" i="17" s="1"/>
  <c r="T54" i="17" s="1"/>
  <c r="M53" i="17"/>
  <c r="N53" i="17" s="1"/>
  <c r="G53" i="17"/>
  <c r="H53" i="17" s="1"/>
  <c r="M52" i="17"/>
  <c r="N52" i="17" s="1"/>
  <c r="G52" i="17"/>
  <c r="H52" i="17" s="1"/>
  <c r="J52" i="17" s="1"/>
  <c r="M51" i="17"/>
  <c r="N51" i="17" s="1"/>
  <c r="G51" i="17"/>
  <c r="H51" i="17" s="1"/>
  <c r="M50" i="17"/>
  <c r="N50" i="17" s="1"/>
  <c r="G50" i="17"/>
  <c r="H50" i="17" s="1"/>
  <c r="J50" i="17" s="1"/>
  <c r="K50" i="17" s="1"/>
  <c r="M48" i="17"/>
  <c r="N48" i="17" s="1"/>
  <c r="G48" i="17"/>
  <c r="H48" i="17" s="1"/>
  <c r="T48" i="17" s="1"/>
  <c r="M47" i="17"/>
  <c r="N47" i="17" s="1"/>
  <c r="G47" i="17"/>
  <c r="H47" i="17" s="1"/>
  <c r="M46" i="17"/>
  <c r="N46" i="17" s="1"/>
  <c r="G46" i="17"/>
  <c r="H46" i="17" s="1"/>
  <c r="G44" i="17"/>
  <c r="M43" i="17"/>
  <c r="N43" i="17" s="1"/>
  <c r="G43" i="17"/>
  <c r="H43" i="17" s="1"/>
  <c r="T43" i="17" s="1"/>
  <c r="M42" i="17"/>
  <c r="N42" i="17" s="1"/>
  <c r="G42" i="17"/>
  <c r="H42" i="17" s="1"/>
  <c r="T42" i="17" s="1"/>
  <c r="J42" i="17" s="1"/>
  <c r="M41" i="17"/>
  <c r="N41" i="17" s="1"/>
  <c r="G41" i="17"/>
  <c r="H41" i="17" s="1"/>
  <c r="M40" i="17"/>
  <c r="N40" i="17" s="1"/>
  <c r="G40" i="17"/>
  <c r="H40" i="17" s="1"/>
  <c r="T40" i="17" s="1"/>
  <c r="M39" i="17"/>
  <c r="N39" i="17" s="1"/>
  <c r="P39" i="17" s="1"/>
  <c r="Q39" i="17" s="1"/>
  <c r="G39" i="17"/>
  <c r="H39" i="17" s="1"/>
  <c r="M38" i="17"/>
  <c r="N38" i="17" s="1"/>
  <c r="G38" i="17"/>
  <c r="H38" i="17" s="1"/>
  <c r="T38" i="17" s="1"/>
  <c r="M37" i="17"/>
  <c r="N37" i="17" s="1"/>
  <c r="G37" i="17"/>
  <c r="H37" i="17" s="1"/>
  <c r="T37" i="17" s="1"/>
  <c r="AB36" i="17"/>
  <c r="AB35" i="17"/>
  <c r="M35" i="17"/>
  <c r="N35" i="17" s="1"/>
  <c r="P35" i="17" s="1"/>
  <c r="Q35" i="17" s="1"/>
  <c r="G35" i="17"/>
  <c r="H35" i="17" s="1"/>
  <c r="AB34" i="17"/>
  <c r="AB37" i="17" s="1"/>
  <c r="M34" i="17"/>
  <c r="N34" i="17" s="1"/>
  <c r="G34" i="17"/>
  <c r="H34" i="17" s="1"/>
  <c r="M33" i="17"/>
  <c r="N33" i="17" s="1"/>
  <c r="G33" i="17"/>
  <c r="H33" i="17" s="1"/>
  <c r="M32" i="17"/>
  <c r="N32" i="17" s="1"/>
  <c r="P32" i="17" s="1"/>
  <c r="Q32" i="17" s="1"/>
  <c r="G32" i="17"/>
  <c r="H32" i="17" s="1"/>
  <c r="M31" i="17"/>
  <c r="N31" i="17" s="1"/>
  <c r="P31" i="17" s="1"/>
  <c r="Q31" i="17" s="1"/>
  <c r="G31" i="17"/>
  <c r="H31" i="17" s="1"/>
  <c r="T31" i="17" s="1"/>
  <c r="M30" i="17"/>
  <c r="N30" i="17" s="1"/>
  <c r="G30" i="17"/>
  <c r="H30" i="17" s="1"/>
  <c r="M29" i="17"/>
  <c r="N29" i="17" s="1"/>
  <c r="U29" i="17" s="1"/>
  <c r="G29" i="17"/>
  <c r="H29" i="17" s="1"/>
  <c r="T29" i="17" s="1"/>
  <c r="X27" i="17"/>
  <c r="M27" i="17"/>
  <c r="N27" i="17" s="1"/>
  <c r="G27" i="17"/>
  <c r="H27" i="17" s="1"/>
  <c r="X26" i="17"/>
  <c r="G26" i="17"/>
  <c r="H26" i="17" s="1"/>
  <c r="S24" i="17"/>
  <c r="M24" i="17"/>
  <c r="N24" i="17" s="1"/>
  <c r="G24" i="17"/>
  <c r="H24" i="17" s="1"/>
  <c r="T24" i="17" s="1"/>
  <c r="E23" i="17"/>
  <c r="X18" i="17" s="1"/>
  <c r="S22" i="17"/>
  <c r="M22" i="17"/>
  <c r="N22" i="17" s="1"/>
  <c r="G22" i="17"/>
  <c r="H22" i="17" s="1"/>
  <c r="X21" i="17"/>
  <c r="S21" i="17"/>
  <c r="M21" i="17"/>
  <c r="N21" i="17" s="1"/>
  <c r="G21" i="17"/>
  <c r="H21" i="17" s="1"/>
  <c r="X20" i="17"/>
  <c r="S20" i="17"/>
  <c r="M20" i="17"/>
  <c r="N20" i="17" s="1"/>
  <c r="G20" i="17"/>
  <c r="H20" i="17" s="1"/>
  <c r="X19" i="17"/>
  <c r="S19" i="17"/>
  <c r="M19" i="17"/>
  <c r="N19" i="17" s="1"/>
  <c r="G19" i="17"/>
  <c r="H19" i="17" s="1"/>
  <c r="S18" i="17"/>
  <c r="M18" i="17"/>
  <c r="N18" i="17" s="1"/>
  <c r="G18" i="17"/>
  <c r="H18" i="17" s="1"/>
  <c r="S17" i="17"/>
  <c r="M17" i="17"/>
  <c r="N17" i="17" s="1"/>
  <c r="G17" i="17"/>
  <c r="H17" i="17" s="1"/>
  <c r="S16" i="17"/>
  <c r="M16" i="17"/>
  <c r="N16" i="17" s="1"/>
  <c r="G16" i="17"/>
  <c r="H16" i="17" s="1"/>
  <c r="T16" i="17" s="1"/>
  <c r="S15" i="17"/>
  <c r="M15" i="17"/>
  <c r="N15" i="17" s="1"/>
  <c r="G15" i="17"/>
  <c r="H15" i="17" s="1"/>
  <c r="S14" i="17"/>
  <c r="M14" i="17"/>
  <c r="N14" i="17" s="1"/>
  <c r="G14" i="17"/>
  <c r="H14" i="17" s="1"/>
  <c r="S13" i="17"/>
  <c r="M13" i="17"/>
  <c r="N13" i="17" s="1"/>
  <c r="G13" i="17"/>
  <c r="H13" i="17" s="1"/>
  <c r="T13" i="17" s="1"/>
  <c r="S12" i="17"/>
  <c r="M12" i="17"/>
  <c r="N12" i="17" s="1"/>
  <c r="G12" i="17"/>
  <c r="H12" i="17" s="1"/>
  <c r="S11" i="17"/>
  <c r="M11" i="17"/>
  <c r="N11" i="17" s="1"/>
  <c r="G11" i="17"/>
  <c r="H11" i="17" s="1"/>
  <c r="T11" i="17" s="1"/>
  <c r="S10" i="17"/>
  <c r="M10" i="17"/>
  <c r="N10" i="17" s="1"/>
  <c r="G10" i="17"/>
  <c r="H10" i="17" s="1"/>
  <c r="T10" i="17" s="1"/>
  <c r="S9" i="17"/>
  <c r="M9" i="17"/>
  <c r="N9" i="17" s="1"/>
  <c r="G9" i="17"/>
  <c r="H136" i="11" l="1"/>
  <c r="E136" i="11"/>
  <c r="F136" i="11" s="1"/>
  <c r="U93" i="17"/>
  <c r="P93" i="17"/>
  <c r="Q93" i="17" s="1"/>
  <c r="U72" i="17"/>
  <c r="P72" i="17"/>
  <c r="Q72" i="17" s="1"/>
  <c r="H125" i="11"/>
  <c r="C34" i="11"/>
  <c r="C130" i="11" s="1"/>
  <c r="J61" i="17"/>
  <c r="T61" i="17"/>
  <c r="J53" i="17"/>
  <c r="T53" i="17"/>
  <c r="P95" i="17"/>
  <c r="Q95" i="17" s="1"/>
  <c r="P102" i="17"/>
  <c r="Q102" i="17" s="1"/>
  <c r="J118" i="17"/>
  <c r="K118" i="17" s="1"/>
  <c r="P86" i="17"/>
  <c r="Q86" i="17" s="1"/>
  <c r="P104" i="17"/>
  <c r="Q104" i="17" s="1"/>
  <c r="J114" i="17"/>
  <c r="J108" i="17"/>
  <c r="K108" i="17" s="1"/>
  <c r="X22" i="17"/>
  <c r="E26" i="17" s="1"/>
  <c r="S26" i="17" s="1"/>
  <c r="E35" i="11"/>
  <c r="H35" i="11"/>
  <c r="J51" i="17"/>
  <c r="K51" i="17" s="1"/>
  <c r="T51" i="17"/>
  <c r="U34" i="17"/>
  <c r="P34" i="17" s="1"/>
  <c r="Q34" i="17" s="1"/>
  <c r="U30" i="17"/>
  <c r="P30" i="17"/>
  <c r="Q30" i="17" s="1"/>
  <c r="J46" i="17"/>
  <c r="K46" i="17" s="1"/>
  <c r="T46" i="17"/>
  <c r="J59" i="17"/>
  <c r="T59" i="17"/>
  <c r="U37" i="17"/>
  <c r="P37" i="17"/>
  <c r="Q37" i="17" s="1"/>
  <c r="J47" i="17"/>
  <c r="K47" i="17" s="1"/>
  <c r="T47" i="17"/>
  <c r="J55" i="17"/>
  <c r="K55" i="17" s="1"/>
  <c r="T55" i="17"/>
  <c r="T27" i="17"/>
  <c r="J27" i="17"/>
  <c r="T60" i="17"/>
  <c r="J60" i="17" s="1"/>
  <c r="R60" i="17" s="1"/>
  <c r="S60" i="17" s="1"/>
  <c r="R92" i="17"/>
  <c r="S92" i="17" s="1"/>
  <c r="U31" i="17"/>
  <c r="J100" i="17"/>
  <c r="K100" i="17" s="1"/>
  <c r="U32" i="17"/>
  <c r="J37" i="17"/>
  <c r="T57" i="17"/>
  <c r="T88" i="17"/>
  <c r="J88" i="17" s="1"/>
  <c r="T97" i="17"/>
  <c r="X25" i="17"/>
  <c r="X28" i="17" s="1"/>
  <c r="E25" i="17" s="1"/>
  <c r="J41" i="17"/>
  <c r="K41" i="17" s="1"/>
  <c r="T41" i="17"/>
  <c r="J43" i="17"/>
  <c r="K43" i="17" s="1"/>
  <c r="U64" i="17"/>
  <c r="P64" i="17"/>
  <c r="Q64" i="17" s="1"/>
  <c r="T123" i="17"/>
  <c r="J123" i="17"/>
  <c r="U79" i="17"/>
  <c r="P79" i="17"/>
  <c r="Q79" i="17" s="1"/>
  <c r="U70" i="17"/>
  <c r="P70" i="17"/>
  <c r="Q70" i="17" s="1"/>
  <c r="U73" i="17"/>
  <c r="P73" i="17"/>
  <c r="Q73" i="17" s="1"/>
  <c r="T119" i="17"/>
  <c r="J119" i="17" s="1"/>
  <c r="K119" i="17" s="1"/>
  <c r="U76" i="17"/>
  <c r="P76" i="17"/>
  <c r="Q76" i="17" s="1"/>
  <c r="T115" i="17"/>
  <c r="P67" i="17"/>
  <c r="Q67" i="17" s="1"/>
  <c r="J91" i="17"/>
  <c r="P92" i="17"/>
  <c r="Q92" i="17" s="1"/>
  <c r="P99" i="17"/>
  <c r="Q99" i="17" s="1"/>
  <c r="J107" i="17"/>
  <c r="K107" i="17" s="1"/>
  <c r="P66" i="17"/>
  <c r="Q66" i="17" s="1"/>
  <c r="P87" i="17"/>
  <c r="Q87" i="17" s="1"/>
  <c r="P96" i="17"/>
  <c r="Q96" i="17" s="1"/>
  <c r="J109" i="17"/>
  <c r="J113" i="17"/>
  <c r="K113" i="17" s="1"/>
  <c r="P89" i="17"/>
  <c r="Q89" i="17" s="1"/>
  <c r="P101" i="17"/>
  <c r="Q101" i="17" s="1"/>
  <c r="J106" i="17"/>
  <c r="K106" i="17" s="1"/>
  <c r="U120" i="17"/>
  <c r="T76" i="17"/>
  <c r="J76" i="17" s="1"/>
  <c r="P98" i="17"/>
  <c r="Q98" i="17" s="1"/>
  <c r="J112" i="17"/>
  <c r="K112" i="17" s="1"/>
  <c r="J103" i="17"/>
  <c r="K103" i="17" s="1"/>
  <c r="P122" i="17"/>
  <c r="Q122" i="17" s="1"/>
  <c r="M26" i="17"/>
  <c r="N26" i="17" s="1"/>
  <c r="N128" i="17" s="1"/>
  <c r="T26" i="17"/>
  <c r="J26" i="17" s="1"/>
  <c r="K26" i="17" s="1"/>
  <c r="T30" i="17"/>
  <c r="J30" i="17"/>
  <c r="P38" i="17"/>
  <c r="Q38" i="17" s="1"/>
  <c r="U38" i="17"/>
  <c r="P62" i="17"/>
  <c r="Q62" i="17" s="1"/>
  <c r="U62" i="17"/>
  <c r="K89" i="17"/>
  <c r="R89" i="17"/>
  <c r="S89" i="17" s="1"/>
  <c r="T19" i="17"/>
  <c r="J19" i="17"/>
  <c r="K19" i="17" s="1"/>
  <c r="K70" i="17"/>
  <c r="K73" i="17"/>
  <c r="U43" i="17"/>
  <c r="P43" i="17" s="1"/>
  <c r="Q43" i="17" s="1"/>
  <c r="P83" i="17"/>
  <c r="Q83" i="17" s="1"/>
  <c r="U83" i="17"/>
  <c r="J18" i="17"/>
  <c r="K18" i="17" s="1"/>
  <c r="T18" i="17"/>
  <c r="U42" i="17"/>
  <c r="P42" i="17" s="1"/>
  <c r="K67" i="17"/>
  <c r="R67" i="17"/>
  <c r="S67" i="17" s="1"/>
  <c r="P68" i="17"/>
  <c r="Q68" i="17" s="1"/>
  <c r="U68" i="17"/>
  <c r="T12" i="17"/>
  <c r="J12" i="17" s="1"/>
  <c r="K12" i="17" s="1"/>
  <c r="P40" i="17"/>
  <c r="Q40" i="17" s="1"/>
  <c r="U40" i="17"/>
  <c r="P74" i="17"/>
  <c r="Q74" i="17" s="1"/>
  <c r="U74" i="17"/>
  <c r="T15" i="17"/>
  <c r="J15" i="17" s="1"/>
  <c r="K15" i="17" s="1"/>
  <c r="T22" i="17"/>
  <c r="J22" i="17" s="1"/>
  <c r="K22" i="17" s="1"/>
  <c r="T21" i="17"/>
  <c r="J21" i="17"/>
  <c r="K21" i="17" s="1"/>
  <c r="T32" i="17"/>
  <c r="J32" i="17"/>
  <c r="K42" i="17"/>
  <c r="P65" i="17"/>
  <c r="Q65" i="17" s="1"/>
  <c r="U65" i="17"/>
  <c r="T33" i="17"/>
  <c r="J33" i="17"/>
  <c r="J20" i="17"/>
  <c r="K20" i="17" s="1"/>
  <c r="T20" i="17"/>
  <c r="P27" i="17"/>
  <c r="Q27" i="17" s="1"/>
  <c r="U27" i="17"/>
  <c r="T34" i="17"/>
  <c r="J34" i="17" s="1"/>
  <c r="T35" i="17"/>
  <c r="J35" i="17" s="1"/>
  <c r="P41" i="17"/>
  <c r="Q41" i="17" s="1"/>
  <c r="U41" i="17"/>
  <c r="K79" i="17"/>
  <c r="R79" i="17"/>
  <c r="S79" i="17" s="1"/>
  <c r="P80" i="17"/>
  <c r="Q80" i="17" s="1"/>
  <c r="U80" i="17"/>
  <c r="T14" i="17"/>
  <c r="J14" i="17" s="1"/>
  <c r="K14" i="17" s="1"/>
  <c r="T17" i="17"/>
  <c r="J17" i="17" s="1"/>
  <c r="K17" i="17" s="1"/>
  <c r="T78" i="17"/>
  <c r="J78" i="17" s="1"/>
  <c r="G128" i="17"/>
  <c r="G130" i="17" s="1"/>
  <c r="J11" i="17"/>
  <c r="K11" i="17" s="1"/>
  <c r="K27" i="17"/>
  <c r="K37" i="17"/>
  <c r="T39" i="17"/>
  <c r="J39" i="17" s="1"/>
  <c r="P57" i="17"/>
  <c r="Q57" i="17" s="1"/>
  <c r="U57" i="17"/>
  <c r="K58" i="17"/>
  <c r="U71" i="17"/>
  <c r="T73" i="17"/>
  <c r="R94" i="17"/>
  <c r="S94" i="17" s="1"/>
  <c r="K94" i="17"/>
  <c r="J10" i="17"/>
  <c r="K10" i="17" s="1"/>
  <c r="J13" i="17"/>
  <c r="K13" i="17" s="1"/>
  <c r="J16" i="17"/>
  <c r="K16" i="17" s="1"/>
  <c r="P29" i="17"/>
  <c r="Q29" i="17" s="1"/>
  <c r="J31" i="17"/>
  <c r="U33" i="17"/>
  <c r="P33" i="17" s="1"/>
  <c r="Q33" i="17" s="1"/>
  <c r="J38" i="17"/>
  <c r="J40" i="17"/>
  <c r="P48" i="17"/>
  <c r="Q48" i="17" s="1"/>
  <c r="U48" i="17"/>
  <c r="T52" i="17"/>
  <c r="P55" i="17"/>
  <c r="Q55" i="17" s="1"/>
  <c r="U55" i="17"/>
  <c r="T58" i="17"/>
  <c r="T63" i="17"/>
  <c r="J63" i="17" s="1"/>
  <c r="J64" i="17"/>
  <c r="P69" i="17"/>
  <c r="Q69" i="17" s="1"/>
  <c r="U77" i="17"/>
  <c r="T81" i="17"/>
  <c r="J81" i="17"/>
  <c r="J82" i="17"/>
  <c r="K114" i="17"/>
  <c r="U119" i="17"/>
  <c r="P119" i="17" s="1"/>
  <c r="Q119" i="17" s="1"/>
  <c r="J24" i="17"/>
  <c r="K24" i="17" s="1"/>
  <c r="P50" i="17"/>
  <c r="Q50" i="17" s="1"/>
  <c r="U50" i="17"/>
  <c r="P56" i="17"/>
  <c r="Q56" i="17" s="1"/>
  <c r="U56" i="17"/>
  <c r="H9" i="17"/>
  <c r="U35" i="17"/>
  <c r="U39" i="17"/>
  <c r="R43" i="17"/>
  <c r="S43" i="17" s="1"/>
  <c r="P52" i="17"/>
  <c r="Q52" i="17" s="1"/>
  <c r="U52" i="17"/>
  <c r="K53" i="17"/>
  <c r="J54" i="17"/>
  <c r="P58" i="17"/>
  <c r="Q58" i="17" s="1"/>
  <c r="U58" i="17"/>
  <c r="K59" i="17"/>
  <c r="K61" i="17"/>
  <c r="T70" i="17"/>
  <c r="T72" i="17"/>
  <c r="J72" i="17"/>
  <c r="P78" i="17"/>
  <c r="Q78" i="17" s="1"/>
  <c r="J95" i="17"/>
  <c r="J101" i="17"/>
  <c r="J110" i="17"/>
  <c r="T110" i="17"/>
  <c r="K117" i="17"/>
  <c r="J29" i="17"/>
  <c r="P51" i="17"/>
  <c r="Q51" i="17" s="1"/>
  <c r="U51" i="17"/>
  <c r="K52" i="17"/>
  <c r="P63" i="17"/>
  <c r="Q63" i="17" s="1"/>
  <c r="T75" i="17"/>
  <c r="J75" i="17"/>
  <c r="P81" i="17"/>
  <c r="Q81" i="17" s="1"/>
  <c r="U91" i="17"/>
  <c r="P91" i="17"/>
  <c r="Q91" i="17" s="1"/>
  <c r="P118" i="17"/>
  <c r="U118" i="17"/>
  <c r="P46" i="17"/>
  <c r="Q46" i="17" s="1"/>
  <c r="U46" i="17"/>
  <c r="J48" i="17"/>
  <c r="T50" i="17"/>
  <c r="P53" i="17"/>
  <c r="Q53" i="17" s="1"/>
  <c r="U53" i="17"/>
  <c r="T56" i="17"/>
  <c r="P59" i="17"/>
  <c r="Q59" i="17" s="1"/>
  <c r="U59" i="17"/>
  <c r="P60" i="17"/>
  <c r="Q60" i="17" s="1"/>
  <c r="U60" i="17"/>
  <c r="P61" i="17"/>
  <c r="Q61" i="17" s="1"/>
  <c r="U61" i="17"/>
  <c r="T69" i="17"/>
  <c r="J69" i="17"/>
  <c r="P75" i="17"/>
  <c r="Q75" i="17" s="1"/>
  <c r="T84" i="17"/>
  <c r="J84" i="17" s="1"/>
  <c r="R85" i="17"/>
  <c r="S85" i="17" s="1"/>
  <c r="K85" i="17"/>
  <c r="U90" i="17"/>
  <c r="P90" i="17"/>
  <c r="Q90" i="17" s="1"/>
  <c r="J124" i="17"/>
  <c r="P47" i="17"/>
  <c r="Q47" i="17" s="1"/>
  <c r="U47" i="17"/>
  <c r="P54" i="17"/>
  <c r="Q54" i="17" s="1"/>
  <c r="U54" i="17"/>
  <c r="T66" i="17"/>
  <c r="J66" i="17"/>
  <c r="J86" i="17"/>
  <c r="P112" i="17"/>
  <c r="U112" i="17"/>
  <c r="K121" i="17"/>
  <c r="J62" i="17"/>
  <c r="J65" i="17"/>
  <c r="J68" i="17"/>
  <c r="J71" i="17"/>
  <c r="J74" i="17"/>
  <c r="J77" i="17"/>
  <c r="J80" i="17"/>
  <c r="J83" i="17"/>
  <c r="P84" i="17"/>
  <c r="Q84" i="17" s="1"/>
  <c r="U85" i="17"/>
  <c r="P85" i="17"/>
  <c r="Q85" i="17" s="1"/>
  <c r="U94" i="17"/>
  <c r="P94" i="17"/>
  <c r="Q94" i="17" s="1"/>
  <c r="J98" i="17"/>
  <c r="U100" i="17"/>
  <c r="P100" i="17"/>
  <c r="Q100" i="17" s="1"/>
  <c r="J104" i="17"/>
  <c r="P106" i="17"/>
  <c r="U106" i="17"/>
  <c r="P113" i="17"/>
  <c r="Q113" i="17" s="1"/>
  <c r="U113" i="17"/>
  <c r="K115" i="17"/>
  <c r="U97" i="17"/>
  <c r="P97" i="17"/>
  <c r="Q97" i="17" s="1"/>
  <c r="U103" i="17"/>
  <c r="P103" i="17" s="1"/>
  <c r="Q103" i="17" s="1"/>
  <c r="J116" i="17"/>
  <c r="J120" i="17"/>
  <c r="T120" i="17"/>
  <c r="U88" i="17"/>
  <c r="P88" i="17"/>
  <c r="Q88" i="17" s="1"/>
  <c r="K123" i="17"/>
  <c r="U107" i="17"/>
  <c r="P107" i="17" s="1"/>
  <c r="K109" i="17"/>
  <c r="T122" i="17"/>
  <c r="J122" i="17"/>
  <c r="U123" i="17"/>
  <c r="P123" i="17"/>
  <c r="Q123" i="17" s="1"/>
  <c r="T105" i="17"/>
  <c r="J105" i="17" s="1"/>
  <c r="U108" i="17"/>
  <c r="P108" i="17" s="1"/>
  <c r="T111" i="17"/>
  <c r="P114" i="17"/>
  <c r="Q114" i="17" s="1"/>
  <c r="U114" i="17"/>
  <c r="T117" i="17"/>
  <c r="T121" i="17"/>
  <c r="J87" i="17"/>
  <c r="J90" i="17"/>
  <c r="J93" i="17"/>
  <c r="J96" i="17"/>
  <c r="J99" i="17"/>
  <c r="J102" i="17"/>
  <c r="P109" i="17"/>
  <c r="Q109" i="17" s="1"/>
  <c r="U109" i="17"/>
  <c r="U115" i="17"/>
  <c r="P115" i="17" s="1"/>
  <c r="P124" i="17"/>
  <c r="Q124" i="17" s="1"/>
  <c r="U110" i="17"/>
  <c r="P110" i="17" s="1"/>
  <c r="Q110" i="17" s="1"/>
  <c r="U116" i="17"/>
  <c r="P116" i="17" s="1"/>
  <c r="Q116" i="17" s="1"/>
  <c r="P105" i="17"/>
  <c r="Q105" i="17" s="1"/>
  <c r="U105" i="17"/>
  <c r="U111" i="17"/>
  <c r="P111" i="17" s="1"/>
  <c r="P117" i="17"/>
  <c r="Q117" i="17" s="1"/>
  <c r="U117" i="17"/>
  <c r="P121" i="17"/>
  <c r="Q121" i="17" s="1"/>
  <c r="U121" i="17"/>
  <c r="F71" i="11"/>
  <c r="F70" i="11"/>
  <c r="F69" i="11"/>
  <c r="F68" i="11"/>
  <c r="F67" i="11"/>
  <c r="F60" i="11"/>
  <c r="R61" i="17" l="1"/>
  <c r="S61" i="17" s="1"/>
  <c r="R73" i="17"/>
  <c r="S73" i="17" s="1"/>
  <c r="R55" i="17"/>
  <c r="S55" i="17" s="1"/>
  <c r="R57" i="17"/>
  <c r="S57" i="17" s="1"/>
  <c r="R58" i="17"/>
  <c r="S58" i="17" s="1"/>
  <c r="R100" i="17"/>
  <c r="S100" i="17" s="1"/>
  <c r="R37" i="17"/>
  <c r="S37" i="17" s="1"/>
  <c r="C36" i="11"/>
  <c r="C38" i="11" s="1"/>
  <c r="C129" i="11"/>
  <c r="H129" i="11" s="1"/>
  <c r="H133" i="11"/>
  <c r="E133" i="11"/>
  <c r="H126" i="11"/>
  <c r="E125" i="11"/>
  <c r="V132" i="17"/>
  <c r="M128" i="17"/>
  <c r="F76" i="11"/>
  <c r="E76" i="11"/>
  <c r="F35" i="11"/>
  <c r="F62" i="11"/>
  <c r="E62" i="11"/>
  <c r="F54" i="11"/>
  <c r="E54" i="11"/>
  <c r="C189" i="11" s="1"/>
  <c r="D189" i="11" s="1"/>
  <c r="F189" i="11" s="1"/>
  <c r="H34" i="11"/>
  <c r="E34" i="11"/>
  <c r="K88" i="17"/>
  <c r="R88" i="17"/>
  <c r="S88" i="17" s="1"/>
  <c r="R119" i="17"/>
  <c r="S119" i="17" s="1"/>
  <c r="R50" i="17"/>
  <c r="S50" i="17" s="1"/>
  <c r="K60" i="17"/>
  <c r="R51" i="17"/>
  <c r="S51" i="17" s="1"/>
  <c r="R70" i="17"/>
  <c r="S70" i="17" s="1"/>
  <c r="K76" i="17"/>
  <c r="R76" i="17"/>
  <c r="S76" i="17" s="1"/>
  <c r="R117" i="17"/>
  <c r="S117" i="17" s="1"/>
  <c r="G132" i="17"/>
  <c r="R91" i="17"/>
  <c r="S91" i="17" s="1"/>
  <c r="K91" i="17"/>
  <c r="Q108" i="17"/>
  <c r="R108" i="17"/>
  <c r="S108" i="17" s="1"/>
  <c r="K39" i="17"/>
  <c r="R39" i="17"/>
  <c r="S39" i="17" s="1"/>
  <c r="K84" i="17"/>
  <c r="R84" i="17"/>
  <c r="S84" i="17" s="1"/>
  <c r="K78" i="17"/>
  <c r="R78" i="17"/>
  <c r="S78" i="17" s="1"/>
  <c r="Q42" i="17"/>
  <c r="R42" i="17"/>
  <c r="S42" i="17" s="1"/>
  <c r="Q107" i="17"/>
  <c r="R107" i="17"/>
  <c r="S107" i="17" s="1"/>
  <c r="Q111" i="17"/>
  <c r="R111" i="17"/>
  <c r="S111" i="17" s="1"/>
  <c r="Q115" i="17"/>
  <c r="R115" i="17"/>
  <c r="S115" i="17" s="1"/>
  <c r="K96" i="17"/>
  <c r="R96" i="17"/>
  <c r="S96" i="17" s="1"/>
  <c r="R104" i="17"/>
  <c r="S104" i="17" s="1"/>
  <c r="K104" i="17"/>
  <c r="K74" i="17"/>
  <c r="R74" i="17"/>
  <c r="S74" i="17" s="1"/>
  <c r="K71" i="17"/>
  <c r="R71" i="17"/>
  <c r="S71" i="17" s="1"/>
  <c r="H128" i="17"/>
  <c r="S128" i="17" s="1"/>
  <c r="J9" i="17"/>
  <c r="K9" i="17" s="1"/>
  <c r="T9" i="17"/>
  <c r="K99" i="17"/>
  <c r="R99" i="17"/>
  <c r="S99" i="17" s="1"/>
  <c r="R109" i="17"/>
  <c r="S109" i="17" s="1"/>
  <c r="R113" i="17"/>
  <c r="S113" i="17" s="1"/>
  <c r="Q106" i="17"/>
  <c r="R106" i="17"/>
  <c r="S106" i="17" s="1"/>
  <c r="K77" i="17"/>
  <c r="R77" i="17"/>
  <c r="S77" i="17" s="1"/>
  <c r="R121" i="17"/>
  <c r="S121" i="17" s="1"/>
  <c r="K86" i="17"/>
  <c r="R86" i="17"/>
  <c r="S86" i="17" s="1"/>
  <c r="K69" i="17"/>
  <c r="R69" i="17"/>
  <c r="S69" i="17" s="1"/>
  <c r="Q118" i="17"/>
  <c r="R118" i="17"/>
  <c r="S118" i="17" s="1"/>
  <c r="K75" i="17"/>
  <c r="R75" i="17"/>
  <c r="S75" i="17" s="1"/>
  <c r="R46" i="17"/>
  <c r="S46" i="17" s="1"/>
  <c r="R54" i="17"/>
  <c r="S54" i="17" s="1"/>
  <c r="K54" i="17"/>
  <c r="R114" i="17"/>
  <c r="S114" i="17" s="1"/>
  <c r="K64" i="17"/>
  <c r="R64" i="17"/>
  <c r="S64" i="17" s="1"/>
  <c r="K38" i="17"/>
  <c r="R38" i="17"/>
  <c r="S38" i="17" s="1"/>
  <c r="R53" i="17"/>
  <c r="S53" i="17" s="1"/>
  <c r="K30" i="17"/>
  <c r="R30" i="17"/>
  <c r="S30" i="17" s="1"/>
  <c r="K90" i="17"/>
  <c r="R90" i="17"/>
  <c r="S90" i="17" s="1"/>
  <c r="K122" i="17"/>
  <c r="R122" i="17"/>
  <c r="S122" i="17" s="1"/>
  <c r="K105" i="17"/>
  <c r="R105" i="17"/>
  <c r="S105" i="17" s="1"/>
  <c r="K68" i="17"/>
  <c r="R68" i="17"/>
  <c r="S68" i="17" s="1"/>
  <c r="Q112" i="17"/>
  <c r="R112" i="17"/>
  <c r="S112" i="17" s="1"/>
  <c r="R56" i="17"/>
  <c r="S56" i="17" s="1"/>
  <c r="R41" i="17"/>
  <c r="S41" i="17" s="1"/>
  <c r="R52" i="17"/>
  <c r="S52" i="17" s="1"/>
  <c r="R27" i="17"/>
  <c r="S27" i="17" s="1"/>
  <c r="R48" i="17"/>
  <c r="S48" i="17" s="1"/>
  <c r="K48" i="17"/>
  <c r="R101" i="17"/>
  <c r="S101" i="17" s="1"/>
  <c r="K101" i="17"/>
  <c r="K63" i="17"/>
  <c r="R63" i="17"/>
  <c r="S63" i="17" s="1"/>
  <c r="R32" i="17"/>
  <c r="S32" i="17" s="1"/>
  <c r="K32" i="17"/>
  <c r="R95" i="17"/>
  <c r="S95" i="17" s="1"/>
  <c r="K95" i="17"/>
  <c r="K87" i="17"/>
  <c r="R87" i="17"/>
  <c r="S87" i="17" s="1"/>
  <c r="R123" i="17"/>
  <c r="S123" i="17" s="1"/>
  <c r="R120" i="17"/>
  <c r="S120" i="17" s="1"/>
  <c r="K120" i="17"/>
  <c r="R98" i="17"/>
  <c r="S98" i="17" s="1"/>
  <c r="K98" i="17"/>
  <c r="K83" i="17"/>
  <c r="R83" i="17"/>
  <c r="S83" i="17" s="1"/>
  <c r="K65" i="17"/>
  <c r="R65" i="17"/>
  <c r="S65" i="17" s="1"/>
  <c r="R103" i="17"/>
  <c r="S103" i="17" s="1"/>
  <c r="K124" i="17"/>
  <c r="R124" i="17"/>
  <c r="S124" i="17" s="1"/>
  <c r="K72" i="17"/>
  <c r="R72" i="17"/>
  <c r="S72" i="17" s="1"/>
  <c r="R47" i="17"/>
  <c r="S47" i="17" s="1"/>
  <c r="K34" i="17"/>
  <c r="R34" i="17"/>
  <c r="S34" i="17" s="1"/>
  <c r="K66" i="17"/>
  <c r="R66" i="17"/>
  <c r="S66" i="17" s="1"/>
  <c r="K29" i="17"/>
  <c r="R29" i="17"/>
  <c r="S29" i="17" s="1"/>
  <c r="K82" i="17"/>
  <c r="R82" i="17"/>
  <c r="S82" i="17" s="1"/>
  <c r="K33" i="17"/>
  <c r="R33" i="17"/>
  <c r="S33" i="17" s="1"/>
  <c r="K93" i="17"/>
  <c r="R93" i="17"/>
  <c r="S93" i="17" s="1"/>
  <c r="K81" i="17"/>
  <c r="R81" i="17"/>
  <c r="S81" i="17" s="1"/>
  <c r="K31" i="17"/>
  <c r="R31" i="17"/>
  <c r="S31" i="17" s="1"/>
  <c r="R59" i="17"/>
  <c r="S59" i="17" s="1"/>
  <c r="K35" i="17"/>
  <c r="R35" i="17"/>
  <c r="S35" i="17" s="1"/>
  <c r="K102" i="17"/>
  <c r="R102" i="17"/>
  <c r="S102" i="17" s="1"/>
  <c r="R116" i="17"/>
  <c r="S116" i="17" s="1"/>
  <c r="K116" i="17"/>
  <c r="K80" i="17"/>
  <c r="R80" i="17"/>
  <c r="S80" i="17" s="1"/>
  <c r="K62" i="17"/>
  <c r="R62" i="17"/>
  <c r="S62" i="17" s="1"/>
  <c r="R97" i="17"/>
  <c r="S97" i="17" s="1"/>
  <c r="R110" i="17"/>
  <c r="S110" i="17" s="1"/>
  <c r="K110" i="17"/>
  <c r="K40" i="17"/>
  <c r="R40" i="17"/>
  <c r="S40" i="17" s="1"/>
  <c r="H130" i="11" l="1"/>
  <c r="H131" i="11" s="1"/>
  <c r="H38" i="11"/>
  <c r="E188" i="11" s="1"/>
  <c r="W120" i="17"/>
  <c r="X120" i="17" s="1"/>
  <c r="C190" i="11"/>
  <c r="D190" i="11" s="1"/>
  <c r="F190" i="11" s="1"/>
  <c r="F133" i="11"/>
  <c r="F125" i="11"/>
  <c r="E126" i="11"/>
  <c r="F126" i="11" s="1"/>
  <c r="E129" i="11"/>
  <c r="F129" i="11" s="1"/>
  <c r="F34" i="11"/>
  <c r="E36" i="11"/>
  <c r="E38" i="11" s="1"/>
  <c r="H36" i="11"/>
  <c r="W119" i="17"/>
  <c r="X119" i="17" s="1"/>
  <c r="W118" i="17"/>
  <c r="W128" i="17"/>
  <c r="S132" i="17"/>
  <c r="E130" i="11" l="1"/>
  <c r="F130" i="11" s="1"/>
  <c r="F131" i="11" s="1"/>
  <c r="E192" i="11"/>
  <c r="C188" i="11"/>
  <c r="F36" i="11"/>
  <c r="W121" i="17"/>
  <c r="X121" i="17" s="1"/>
  <c r="X118" i="17"/>
  <c r="E131" i="11" l="1"/>
  <c r="C192" i="11" s="1"/>
  <c r="D192" i="11" s="1"/>
  <c r="F192" i="11" s="1"/>
  <c r="D188" i="11"/>
  <c r="F188" i="11" s="1"/>
  <c r="F159" i="11"/>
  <c r="F38" i="11"/>
  <c r="F10" i="11" l="1"/>
  <c r="F25" i="11"/>
  <c r="E28" i="11"/>
  <c r="F28" i="11" l="1"/>
  <c r="C191" i="11"/>
  <c r="D191" i="11" l="1"/>
  <c r="F191" i="11" s="1"/>
  <c r="G188" i="11" s="1"/>
  <c r="E134" i="11"/>
  <c r="F134" i="11" s="1"/>
  <c r="F140" i="11" s="1"/>
  <c r="H134" i="11"/>
  <c r="H140" i="11" s="1"/>
  <c r="E193" i="11" s="1"/>
  <c r="F199" i="11" s="1"/>
  <c r="E140" i="11" l="1"/>
  <c r="C193" i="11" s="1"/>
  <c r="E198" i="11" l="1"/>
  <c r="F198" i="11" s="1"/>
  <c r="F200" i="11" s="1"/>
  <c r="D193" i="11"/>
  <c r="F193" i="11" s="1"/>
</calcChain>
</file>

<file path=xl/sharedStrings.xml><?xml version="1.0" encoding="utf-8"?>
<sst xmlns="http://schemas.openxmlformats.org/spreadsheetml/2006/main" count="586" uniqueCount="373">
  <si>
    <t>Item</t>
  </si>
  <si>
    <t>Number</t>
  </si>
  <si>
    <t>Makers</t>
  </si>
  <si>
    <t>Name</t>
  </si>
  <si>
    <t>Catalogue</t>
  </si>
  <si>
    <t>Quantity</t>
  </si>
  <si>
    <t>Unit</t>
  </si>
  <si>
    <t>Hours</t>
  </si>
  <si>
    <t>Total</t>
  </si>
  <si>
    <t>Gross</t>
  </si>
  <si>
    <t>Price</t>
  </si>
  <si>
    <t>Rate</t>
  </si>
  <si>
    <t>Nett</t>
  </si>
  <si>
    <t>Combined</t>
  </si>
  <si>
    <t>Gross Unit</t>
  </si>
  <si>
    <t>Rates</t>
  </si>
  <si>
    <t>Gross Total</t>
  </si>
  <si>
    <t>£</t>
  </si>
  <si>
    <t>LABOUR DETAIL</t>
  </si>
  <si>
    <t>SCHEDULE OF RATES</t>
  </si>
  <si>
    <t>ERECT ONLY</t>
  </si>
  <si>
    <t>MATERIAL DETAIL</t>
  </si>
  <si>
    <t>%</t>
  </si>
  <si>
    <t>SUPPLY ONLY</t>
  </si>
  <si>
    <t>SUPPLY &amp; ERECT</t>
  </si>
  <si>
    <t>OF</t>
  </si>
  <si>
    <t>PAGE No.</t>
  </si>
  <si>
    <t xml:space="preserve">ESTIMATE No.  </t>
  </si>
  <si>
    <t xml:space="preserve">ESTIMATE FOR:  </t>
  </si>
  <si>
    <t>ESTIMATE TOTALS :</t>
  </si>
  <si>
    <t>Labour</t>
  </si>
  <si>
    <t>Material</t>
  </si>
  <si>
    <t>Selling</t>
  </si>
  <si>
    <t>FIRE ALARMS</t>
  </si>
  <si>
    <t>DESCRIPTION</t>
  </si>
  <si>
    <t>INSTALLATION COST</t>
  </si>
  <si>
    <t>L.E.D.</t>
  </si>
  <si>
    <t>SOFTSKIN 2C 1.5MM</t>
  </si>
  <si>
    <t>SHROUDS</t>
  </si>
  <si>
    <t>GALVANISED BOXES</t>
  </si>
  <si>
    <t>INSULATING TAPE</t>
  </si>
  <si>
    <t>SLEEVING</t>
  </si>
  <si>
    <t>PLANT</t>
  </si>
  <si>
    <t>FLUSHING KIT</t>
  </si>
  <si>
    <t>VESDA PANEL</t>
  </si>
  <si>
    <t>RED COMPRESSION GLANDS (Per 100)</t>
  </si>
  <si>
    <t>BRASS M4'S (Per 100)</t>
  </si>
  <si>
    <t>CONNECTOR BLOCK (Pk 10)</t>
  </si>
  <si>
    <t xml:space="preserve">FIXINGS </t>
  </si>
  <si>
    <t>MICC GLANDS (Per 10)</t>
  </si>
  <si>
    <t>MICC POTS AND SEALS (Per 10)</t>
  </si>
  <si>
    <t>PROJECT:</t>
  </si>
  <si>
    <t>METAL TIE WRAPS (Per 100)</t>
  </si>
  <si>
    <t>ENHANCED SOFTSKIN 4C 1.5MM</t>
  </si>
  <si>
    <t>ENHANCED SOFTSKIN 2C 1.5MM</t>
  </si>
  <si>
    <t>SOFTSKIN 4C 1.5MM</t>
  </si>
  <si>
    <t>REDCARE</t>
  </si>
  <si>
    <t>ENHANCED SOFTSKIN 4C 1.5MM SUPPLY ONLY</t>
  </si>
  <si>
    <t>MICC 2C 1.5MM SUPPLY ONLY ******</t>
  </si>
  <si>
    <t>ENHANCED SOFTSKIN 2C 1.5MM SUPPLY ONLY****</t>
  </si>
  <si>
    <t>6MM ZEBS EACH</t>
  </si>
  <si>
    <t>SOFTSKIN 4C 1.5MM SUPPLY ONLY</t>
  </si>
  <si>
    <t>25mm PVC Conduit draw in boxes</t>
  </si>
  <si>
    <t xml:space="preserve"> 25mm PVC Couplers</t>
  </si>
  <si>
    <t>PVC TIE WRAPS (Per 100)</t>
  </si>
  <si>
    <t>make up</t>
  </si>
  <si>
    <t>weeks</t>
  </si>
  <si>
    <t>days</t>
  </si>
  <si>
    <t>Sell at 32%</t>
  </si>
  <si>
    <t>Devices</t>
  </si>
  <si>
    <t>SWA CW20S FP400 Pack Glands/Shrouds pack of2</t>
  </si>
  <si>
    <t>MUNSEN RING BACK PLATE (PACK OF 5)</t>
  </si>
  <si>
    <t>M6/M8 NUTS &amp; WASHERS BOX OF 100</t>
  </si>
  <si>
    <r>
      <rPr>
        <b/>
        <sz val="10"/>
        <rFont val="Arial"/>
        <family val="2"/>
      </rPr>
      <t>20mm</t>
    </r>
    <r>
      <rPr>
        <sz val="8"/>
        <rFont val="Arial"/>
        <family val="2"/>
      </rPr>
      <t xml:space="preserve">  Galv Conduit saddles</t>
    </r>
  </si>
  <si>
    <r>
      <rPr>
        <b/>
        <sz val="10"/>
        <rFont val="Arial"/>
        <family val="2"/>
      </rPr>
      <t>20mm</t>
    </r>
    <r>
      <rPr>
        <sz val="8"/>
        <rFont val="Arial"/>
        <family val="2"/>
      </rPr>
      <t xml:space="preserve"> bush &amp; Coupling</t>
    </r>
  </si>
  <si>
    <r>
      <rPr>
        <b/>
        <sz val="10"/>
        <rFont val="Arial"/>
        <family val="2"/>
      </rPr>
      <t>25mm Galv Conduit</t>
    </r>
    <r>
      <rPr>
        <sz val="8"/>
        <rFont val="Arial"/>
        <family val="2"/>
      </rPr>
      <t xml:space="preserve"> saddles</t>
    </r>
  </si>
  <si>
    <r>
      <rPr>
        <b/>
        <sz val="10"/>
        <rFont val="Arial"/>
        <family val="2"/>
      </rPr>
      <t>25mm</t>
    </r>
    <r>
      <rPr>
        <sz val="8"/>
        <rFont val="Arial"/>
        <family val="2"/>
      </rPr>
      <t xml:space="preserve"> bush &amp; Coupling</t>
    </r>
  </si>
  <si>
    <t>TRUNKING - 100x100 T (&amp;90) bends</t>
  </si>
  <si>
    <t>TRUNKING - BENDS</t>
  </si>
  <si>
    <t>CQR - 8 Core alarm cable, type 1, screened, LSZH, 100m</t>
  </si>
  <si>
    <t>Power Tower Nano or PICU 3m working height platform</t>
  </si>
  <si>
    <r>
      <t>SOFTSKIN 2C 1.5MM</t>
    </r>
    <r>
      <rPr>
        <sz val="8"/>
        <color rgb="FFFF0000"/>
        <rFont val="Arial"/>
        <family val="2"/>
      </rPr>
      <t xml:space="preserve"> TRAY</t>
    </r>
  </si>
  <si>
    <r>
      <t xml:space="preserve">SOFTSKIN 4C 1.5MM </t>
    </r>
    <r>
      <rPr>
        <sz val="8"/>
        <color rgb="FFFF0000"/>
        <rFont val="Arial"/>
        <family val="2"/>
      </rPr>
      <t>TRAY</t>
    </r>
  </si>
  <si>
    <t>ENHANCED SOFTSKIN 4C 1.5MM TRAY</t>
  </si>
  <si>
    <r>
      <t xml:space="preserve">ENHANCED SOFTSKIN 2C 1.5MM </t>
    </r>
    <r>
      <rPr>
        <sz val="8"/>
        <color rgb="FFFF0000"/>
        <rFont val="Arial"/>
        <family val="2"/>
      </rPr>
      <t>TRAY</t>
    </r>
  </si>
  <si>
    <t>D-Line (double) METAL F-CLIP FOR YT2 (per 100)</t>
  </si>
  <si>
    <t>LEDs</t>
  </si>
  <si>
    <t>FP400 4 core duct</t>
  </si>
  <si>
    <t>FP400 4 core clipped</t>
  </si>
  <si>
    <t>FP400 2 core duct</t>
  </si>
  <si>
    <t>FP400 2 core clipped</t>
  </si>
  <si>
    <t>updated 01/10/21</t>
  </si>
  <si>
    <t>FUR K16 RC-320T 25mm conduit 8mm rod clip - EACH</t>
  </si>
  <si>
    <t>DROP IN ANCHOR setting tool/ 10mm SDS drill  EACH</t>
  </si>
  <si>
    <t>updated 20/12/21</t>
  </si>
  <si>
    <t>8mm NUTS &amp; WASHERS per 100</t>
  </si>
  <si>
    <t>RC-320T 25mm saddle clip (8mm THREADED ROD)</t>
  </si>
  <si>
    <t>Drop rods hours</t>
  </si>
  <si>
    <t>CABLE TOTAL</t>
  </si>
  <si>
    <t>Cable</t>
  </si>
  <si>
    <t>devices @10m</t>
  </si>
  <si>
    <t>LEDs @ 3m</t>
  </si>
  <si>
    <t>Device count</t>
  </si>
  <si>
    <t>devices</t>
  </si>
  <si>
    <t>updated 07/01/22</t>
  </si>
  <si>
    <t>41MM X 21MM internal couplers (each)</t>
  </si>
  <si>
    <t>41MM X 41MM internal couplers (each)</t>
  </si>
  <si>
    <t>unistrut 90 deg angle bracket 2 hole (each)</t>
  </si>
  <si>
    <t>41MM X 41MM beam clamp (each)</t>
  </si>
  <si>
    <t xml:space="preserve">TOTAL </t>
  </si>
  <si>
    <t>TOTAL DEVICE COUNT</t>
  </si>
  <si>
    <r>
      <rPr>
        <b/>
        <sz val="10"/>
        <rFont val="Arial"/>
        <family val="2"/>
      </rPr>
      <t>25mm Galv Conduit</t>
    </r>
    <r>
      <rPr>
        <sz val="10"/>
        <rFont val="Arial"/>
        <family val="2"/>
      </rPr>
      <t xml:space="preserve"> per </t>
    </r>
    <r>
      <rPr>
        <b/>
        <sz val="10"/>
        <rFont val="Arial"/>
        <family val="2"/>
      </rPr>
      <t>metre</t>
    </r>
  </si>
  <si>
    <t>20mm Galv Conduit per metre</t>
  </si>
  <si>
    <t>20/25mm PVC Conduit per metre</t>
  </si>
  <si>
    <t>updated 15/02/22</t>
  </si>
  <si>
    <t>25mm Galv Conduit saddles WHITE</t>
  </si>
  <si>
    <t>TRUNKING - YT2 25mmx16mm per metre</t>
  </si>
  <si>
    <t>TRUNKING - YT3 (38x16) per metre</t>
  </si>
  <si>
    <t>Slotted Unistrut 41mm X 41mm per metre</t>
  </si>
  <si>
    <t>Slotted Unistrut 41MM X 21MM per metre</t>
  </si>
  <si>
    <t>8mm THREADED ROD per metre</t>
  </si>
  <si>
    <t>6mm THREADED ROD per metre</t>
  </si>
  <si>
    <t>8MM DROP IN ANCHORS-  100 pack</t>
  </si>
  <si>
    <t>TRUNKING - YT4 (40x25) per metre</t>
  </si>
  <si>
    <t>TRUNKING - 100x100 per metre</t>
  </si>
  <si>
    <t>3" Galv Light duty Trayplate &amp; fittings per metre</t>
  </si>
  <si>
    <t>3" Galv Heavy duty Trayplate &amp; fittings per metre</t>
  </si>
  <si>
    <t>3" tray stand-off bracket</t>
  </si>
  <si>
    <r>
      <rPr>
        <b/>
        <sz val="10"/>
        <rFont val="Arial"/>
        <family val="2"/>
      </rPr>
      <t>25mm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CONLOCK</t>
    </r>
    <r>
      <rPr>
        <sz val="8"/>
        <rFont val="Arial"/>
        <family val="2"/>
      </rPr>
      <t xml:space="preserve"> coupler</t>
    </r>
  </si>
  <si>
    <r>
      <rPr>
        <b/>
        <sz val="10"/>
        <rFont val="Arial"/>
        <family val="2"/>
      </rPr>
      <t>25mm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CONLOCK</t>
    </r>
    <r>
      <rPr>
        <sz val="8"/>
        <rFont val="Arial"/>
        <family val="2"/>
      </rPr>
      <t xml:space="preserve"> BESA box</t>
    </r>
  </si>
  <si>
    <r>
      <rPr>
        <b/>
        <sz val="10"/>
        <rFont val="Arial"/>
        <family val="2"/>
      </rPr>
      <t>25mm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CONLOCK</t>
    </r>
    <r>
      <rPr>
        <sz val="8"/>
        <rFont val="Arial"/>
        <family val="2"/>
      </rPr>
      <t xml:space="preserve"> Female adaptor</t>
    </r>
  </si>
  <si>
    <t>Cablofil Conduit take-off plate (CEF)</t>
  </si>
  <si>
    <t>2c 2.5mm T&amp;E per metre</t>
  </si>
  <si>
    <t>2c 1.5mm T&amp;E per metre</t>
  </si>
  <si>
    <t>updated 02/03/22</t>
  </si>
  <si>
    <t>3.5mmx140mm tyraps (100)</t>
  </si>
  <si>
    <t>Self adhesive inner labels (750)</t>
  </si>
  <si>
    <t>cablecraft- ERK2B/Y K-type tie on markers (100)</t>
  </si>
  <si>
    <t>REPEATER PANEL</t>
  </si>
  <si>
    <t>910244 2pair draka data cable 2pair</t>
  </si>
  <si>
    <t>updated 11/03/22</t>
  </si>
  <si>
    <r>
      <t>Draka 910244 data cable 2pair Scr Red 1</t>
    </r>
    <r>
      <rPr>
        <b/>
        <sz val="8"/>
        <rFont val="Arial"/>
        <family val="2"/>
      </rPr>
      <t>00m</t>
    </r>
    <r>
      <rPr>
        <sz val="8"/>
        <rFont val="Arial"/>
        <family val="2"/>
      </rPr>
      <t xml:space="preserve"> tray</t>
    </r>
  </si>
  <si>
    <r>
      <t>Draka 910244 data cable 2pair Scr Red 1</t>
    </r>
    <r>
      <rPr>
        <b/>
        <sz val="8"/>
        <rFont val="Arial"/>
        <family val="2"/>
      </rPr>
      <t>00m</t>
    </r>
    <r>
      <rPr>
        <sz val="8"/>
        <rFont val="Arial"/>
        <family val="2"/>
      </rPr>
      <t xml:space="preserve"> clipped</t>
    </r>
  </si>
  <si>
    <r>
      <rPr>
        <sz val="8"/>
        <color rgb="FFFF0000"/>
        <rFont val="Arial"/>
        <family val="2"/>
      </rPr>
      <t>Draka 910244 data cable 2pair Scr Red 1</t>
    </r>
    <r>
      <rPr>
        <b/>
        <sz val="8"/>
        <color rgb="FFFF0000"/>
        <rFont val="Arial"/>
        <family val="2"/>
      </rPr>
      <t>00m</t>
    </r>
    <r>
      <rPr>
        <sz val="8"/>
        <color rgb="FFFF0000"/>
        <rFont val="Arial"/>
        <family val="2"/>
      </rPr>
      <t xml:space="preserve"> supply</t>
    </r>
  </si>
  <si>
    <t>VESDA PIPE per metre</t>
  </si>
  <si>
    <t>MCP PUTTY PADS</t>
  </si>
  <si>
    <t>updated 17/05/22</t>
  </si>
  <si>
    <t>SOFTSKIN 2C 1.5MM SUPPLY ONLY</t>
  </si>
  <si>
    <t xml:space="preserve">Total Sell </t>
  </si>
  <si>
    <t>Value at 32%</t>
  </si>
  <si>
    <t>COST</t>
  </si>
  <si>
    <t>updated 11/07/22</t>
  </si>
  <si>
    <t>4" Galv Heavy duty Trayplate lid</t>
  </si>
  <si>
    <t>4" Galv Heavy duty Trayplate per metre</t>
  </si>
  <si>
    <t>updated 24/10/22</t>
  </si>
  <si>
    <t>MICC 2C 1.5MM clipped</t>
  </si>
  <si>
    <t>MICC 4C 1.5MM tray</t>
  </si>
  <si>
    <t>updated 09/11/22</t>
  </si>
  <si>
    <t>7.3m/hour</t>
  </si>
  <si>
    <t>100 GIRDER CLIPS CEF BC500 8-14mm</t>
  </si>
  <si>
    <t>updated 15/11/22</t>
  </si>
  <si>
    <t>interface tails@2m</t>
  </si>
  <si>
    <t>100 CEF CR812 GIRDER CLIPS (S TYPE) 8-12mm</t>
  </si>
  <si>
    <t>Loop first device @ 10M</t>
  </si>
  <si>
    <t>WORKS DURATION</t>
  </si>
  <si>
    <t>updated 25/11/22</t>
  </si>
  <si>
    <t>VESDA devices</t>
  </si>
  <si>
    <t>PSU/Mains I/F</t>
  </si>
  <si>
    <t>ver 1.0 25/11/22</t>
  </si>
  <si>
    <t>cable markers PER DEVICE</t>
  </si>
  <si>
    <t>MANUAL CALLPOINT</t>
  </si>
  <si>
    <t>SMOKE SENSORS</t>
  </si>
  <si>
    <t>SOUNDERS</t>
  </si>
  <si>
    <t>INTERFACES</t>
  </si>
  <si>
    <t>PSUs</t>
  </si>
  <si>
    <t>DOOR HOLDERS</t>
  </si>
  <si>
    <t>MAINS INTERFACES</t>
  </si>
  <si>
    <t>FIRE PANELS</t>
  </si>
  <si>
    <t>miscellaneous</t>
  </si>
  <si>
    <t>Materials</t>
  </si>
  <si>
    <t>Cost</t>
  </si>
  <si>
    <t>Sell @32%</t>
  </si>
  <si>
    <t>Loops</t>
  </si>
  <si>
    <t>Mats</t>
  </si>
  <si>
    <t>Access Equip</t>
  </si>
  <si>
    <t>Install</t>
  </si>
  <si>
    <t>Install Labour Cost</t>
  </si>
  <si>
    <t>LOOPS</t>
  </si>
  <si>
    <t>Aspiration Panel</t>
  </si>
  <si>
    <t>L.E.D. (1/2 Point)</t>
  </si>
  <si>
    <t>Redcare</t>
  </si>
  <si>
    <t>DEVICES</t>
  </si>
  <si>
    <t>CABLE</t>
  </si>
  <si>
    <t>ASPIRATION PIPE (TO BE DEVELOPED)</t>
  </si>
  <si>
    <t>Price Updated</t>
  </si>
  <si>
    <t>Manual Entry</t>
  </si>
  <si>
    <t>AEI Firetec Enhanced 4C1.5mm Fixed to Fabric</t>
  </si>
  <si>
    <t>AEI Firetec Enhanced 4C1.5mm  On Tray/Basket</t>
  </si>
  <si>
    <t>Sell Rate</t>
  </si>
  <si>
    <t>m/point</t>
  </si>
  <si>
    <t>% On Tray</t>
  </si>
  <si>
    <t>% on Tray</t>
  </si>
  <si>
    <t>CONTAINMENT</t>
  </si>
  <si>
    <t>Rounded up to nearest 100m</t>
  </si>
  <si>
    <t>NETWORK</t>
  </si>
  <si>
    <t>RED COMPRESSION GLANDS</t>
  </si>
  <si>
    <t>Porcelain Connectors</t>
  </si>
  <si>
    <t>FP400 Cable Cleats</t>
  </si>
  <si>
    <t>Linian Clips 9-12mm</t>
  </si>
  <si>
    <t>SWA CW20S FP400 Pack Glands/Shrouds pack of 2</t>
  </si>
  <si>
    <t>MICC 2C 1.5MM fixed to fabric</t>
  </si>
  <si>
    <t>MICC 4C 1.5MM fixed to fabric</t>
  </si>
  <si>
    <t>MISCELLANEOUS</t>
  </si>
  <si>
    <r>
      <t>Draka 910244 data cable 2pair Scr Red 1</t>
    </r>
    <r>
      <rPr>
        <b/>
        <sz val="8"/>
        <rFont val="Arial"/>
        <family val="2"/>
      </rPr>
      <t>00m</t>
    </r>
    <r>
      <rPr>
        <sz val="8"/>
        <rFont val="Arial"/>
        <family val="2"/>
      </rPr>
      <t xml:space="preserve"> supply</t>
    </r>
  </si>
  <si>
    <t>TOTAL CABLE FP400 (2 Core 1.5mm)</t>
  </si>
  <si>
    <t>TOTAL CABLE (3 Core FP400 1.5 Network Cable)</t>
  </si>
  <si>
    <t>TOTAL CABLE (4 Core Enhanced 1.5 Network Cable)</t>
  </si>
  <si>
    <t>FP400 3C1.5mm fixed to fabric</t>
  </si>
  <si>
    <t>FP400 3C1.5mm in duct</t>
  </si>
  <si>
    <t>MICC 4C 1.5MM on tray/basket</t>
  </si>
  <si>
    <t>TOTAL CABLE (MICC 2 Core 1.5mm)</t>
  </si>
  <si>
    <t>TOTAL CABLE (MICC 4 Core 1.5mm)</t>
  </si>
  <si>
    <t>TOTAL MISCELLANEOUS</t>
  </si>
  <si>
    <t>Auto Calculated</t>
  </si>
  <si>
    <t xml:space="preserve">25mm PVC Conduit (3m) </t>
  </si>
  <si>
    <t>25mm Galv Conduit saddles</t>
  </si>
  <si>
    <t>25mm bush &amp; Coupling</t>
  </si>
  <si>
    <t>25mm CONLOCK BESA box</t>
  </si>
  <si>
    <t>25mm CONLOCK coupler</t>
  </si>
  <si>
    <t>25mm CONLOCK Female adaptor</t>
  </si>
  <si>
    <t>YT2 25mmx16mm per metre</t>
  </si>
  <si>
    <t>YT3 (38x16) per metre</t>
  </si>
  <si>
    <t>YT4 (40x25) per metre</t>
  </si>
  <si>
    <t>100x100 per metre</t>
  </si>
  <si>
    <t>BENDS</t>
  </si>
  <si>
    <t>PVC Trunking</t>
  </si>
  <si>
    <t>Conduit</t>
  </si>
  <si>
    <t>25mm metal Conduit saddles WHITE</t>
  </si>
  <si>
    <t>Unistrut</t>
  </si>
  <si>
    <t>Miscellaneous</t>
  </si>
  <si>
    <t>TOTAL CONTAINMENT</t>
  </si>
  <si>
    <t>D-Line (double) METAL F-CLIP FOR YT2</t>
  </si>
  <si>
    <t>M6 NUTS &amp; WASHERS BOX OF 100</t>
  </si>
  <si>
    <t>MUNSEN RING BACK PLATE</t>
  </si>
  <si>
    <t>8mm DROP IN ANCHORS-  100 pack</t>
  </si>
  <si>
    <t>METAL TIE WRAPS</t>
  </si>
  <si>
    <t>PVC TIE WRAPS</t>
  </si>
  <si>
    <t>% Shot Fired</t>
  </si>
  <si>
    <t>PVC Connectors (per Strip)</t>
  </si>
  <si>
    <t>3.2m/Tower</t>
  </si>
  <si>
    <t>Delta Deck</t>
  </si>
  <si>
    <t>Peco Lift (Wind Up) 3.5m</t>
  </si>
  <si>
    <t>8m Scissor</t>
  </si>
  <si>
    <t>PLANT HIRE (PER WEEK)</t>
  </si>
  <si>
    <t>Lodge</t>
  </si>
  <si>
    <t>Mileage</t>
  </si>
  <si>
    <t>Total Misc.</t>
  </si>
  <si>
    <t>TOTAL FIXINGS &amp; SUNDRIES</t>
  </si>
  <si>
    <t>TOTAL PLANT HIRE</t>
  </si>
  <si>
    <t>Total Cost</t>
  </si>
  <si>
    <t>SENSORS</t>
  </si>
  <si>
    <t>Network Hours &amp; Materials</t>
  </si>
  <si>
    <t>Cable Installation Labour &amp; Materials</t>
  </si>
  <si>
    <t>Second Fix Hours</t>
  </si>
  <si>
    <t>FIXINGS &amp; SUNDRIES (OTHER)</t>
  </si>
  <si>
    <t>FIXINGS &amp; SUNDRIES (CABLE &amp; DEVICES)</t>
  </si>
  <si>
    <t>Total Cable (Other)</t>
  </si>
  <si>
    <t>Ensure Cables are bought to cut length</t>
  </si>
  <si>
    <t>FP600 3C1.5mm fixed to fabric</t>
  </si>
  <si>
    <t>FP600 3C1.5mm in duct</t>
  </si>
  <si>
    <t>CABLE (OTHER)</t>
  </si>
  <si>
    <t>FP600 3C1.5mm On Tray/Basket</t>
  </si>
  <si>
    <t>MICC 2C 1.5MM on Tray/Basket</t>
  </si>
  <si>
    <t>Total Containment</t>
  </si>
  <si>
    <t>Total Fixings &amp; Sundries (Cable &amp; Devices)</t>
  </si>
  <si>
    <t>Total Fixings &amp; Sundries (Other)</t>
  </si>
  <si>
    <t>Total Plant Hire</t>
  </si>
  <si>
    <t>TOTAL HOURS(Rounded Up)</t>
  </si>
  <si>
    <t>TOTAL MATERIALS</t>
  </si>
  <si>
    <t>Price Per Point</t>
  </si>
  <si>
    <t>Making Good</t>
  </si>
  <si>
    <t>Comments</t>
  </si>
  <si>
    <t>FP400 3C1.5mm On tray/basket</t>
  </si>
  <si>
    <t>3" Galv Light duty Tray plate &amp; fittings per metre</t>
  </si>
  <si>
    <t>3" Galv Heavy duty Tray plate &amp; fittings per metre</t>
  </si>
  <si>
    <t>Podium 6 Tread</t>
  </si>
  <si>
    <t>Podium 10 Tread</t>
  </si>
  <si>
    <t>Delivery(Plant) each way up to 20 miles</t>
  </si>
  <si>
    <t>Delivery(Lifters) each way up to 20 miles</t>
  </si>
  <si>
    <t>FIXINGS &amp; SUNDRIES (NETWORK)</t>
  </si>
  <si>
    <t>CABLE CLEATS &amp; FIXINGS</t>
  </si>
  <si>
    <t>Total Fixings &amp; Sundries (Network)</t>
  </si>
  <si>
    <t>Fit to Box &amp; Terminate</t>
  </si>
  <si>
    <t>`</t>
  </si>
  <si>
    <t>TIE WRAPS</t>
  </si>
  <si>
    <t>Price per point does not include</t>
  </si>
  <si>
    <t>Access</t>
  </si>
  <si>
    <t>Containment</t>
  </si>
  <si>
    <t>Cable Type</t>
  </si>
  <si>
    <t>Standard</t>
  </si>
  <si>
    <t>Enhanced</t>
  </si>
  <si>
    <t>Cable Cost</t>
  </si>
  <si>
    <t>Check Price</t>
  </si>
  <si>
    <t>Slotted Unistrut 41mm X 41mm per metre (3m)</t>
  </si>
  <si>
    <t>25mm Galv Conduit (3.75m)</t>
  </si>
  <si>
    <t>ARMOURED GLANDS (2 Pkt)</t>
  </si>
  <si>
    <t>MEP</t>
  </si>
  <si>
    <t>8m Scaffold</t>
  </si>
  <si>
    <t>Tool Vault (Large)</t>
  </si>
  <si>
    <t>Tool Vault (Small)</t>
  </si>
  <si>
    <t>Parking (Hospital)</t>
  </si>
  <si>
    <t>Drawings (per drawing)</t>
  </si>
  <si>
    <t>Zonel Plan</t>
  </si>
  <si>
    <t>Nano SP (6.5m)</t>
  </si>
  <si>
    <t>Eco (Wind Up) 4.5m</t>
  </si>
  <si>
    <t>Double Hilti Clips X-DFC 8 MX (Hospital) (Nail reqd.)</t>
  </si>
  <si>
    <t>Hilti Nail  X-P 17 B3 MX</t>
  </si>
  <si>
    <t>Hilti Single Clip X-FB 8 MX Nail Reqd.)</t>
  </si>
  <si>
    <t>Hilti Double Clip X-DFB 8 MX (Nail Reqd)</t>
  </si>
  <si>
    <t xml:space="preserve">Ceiling Hangar X-ECC MX (Hospital for Gripple) </t>
  </si>
  <si>
    <t>V2.2</t>
  </si>
  <si>
    <t>V2</t>
  </si>
  <si>
    <t>Labour Rate Changed</t>
  </si>
  <si>
    <t>V1</t>
  </si>
  <si>
    <t>First Issue</t>
  </si>
  <si>
    <t>6.3.23</t>
  </si>
  <si>
    <t>V1.1</t>
  </si>
  <si>
    <t>Change Cable Type on dropdown</t>
  </si>
  <si>
    <t>2.7.23</t>
  </si>
  <si>
    <t>17.5.24</t>
  </si>
  <si>
    <t>V2.1</t>
  </si>
  <si>
    <t>Hilti Fixings Added</t>
  </si>
  <si>
    <t>20.5.24</t>
  </si>
  <si>
    <t>Claculation Error Corrected</t>
  </si>
  <si>
    <t>5.6.24</t>
  </si>
  <si>
    <t>Version History</t>
  </si>
  <si>
    <t>V2.3</t>
  </si>
  <si>
    <t>Calculation Error Corrected, Labout Rate updated</t>
  </si>
  <si>
    <t>Non Productive Overtime Rates</t>
  </si>
  <si>
    <t>Sun</t>
  </si>
  <si>
    <t>Sat Before 12</t>
  </si>
  <si>
    <t>Sat After 12</t>
  </si>
  <si>
    <t>Hour</t>
  </si>
  <si>
    <t>Day</t>
  </si>
  <si>
    <t>Normal Time</t>
  </si>
  <si>
    <t>Day Rate</t>
  </si>
  <si>
    <t>16.8.24</t>
  </si>
  <si>
    <t>Commissioning</t>
  </si>
  <si>
    <t>Commissioning (Network)</t>
  </si>
  <si>
    <t>4.3.24</t>
  </si>
  <si>
    <t>V2.4</t>
  </si>
  <si>
    <t>YT4 Installation time corrected, manual entry on cable  changed to auto calculate cost</t>
  </si>
  <si>
    <t>V2.5</t>
  </si>
  <si>
    <t>FP400 3 core fixed to fabric</t>
  </si>
  <si>
    <t>FP400 3 core fixed on Tray/Basket</t>
  </si>
  <si>
    <t>FP400 3 core in duct</t>
  </si>
  <si>
    <t>TOTAL CABLE FP500 (3 Core 1.5mm)</t>
  </si>
  <si>
    <t>FP500 3 core in duct</t>
  </si>
  <si>
    <t>FP500 3 core fixed on Tray/Basket</t>
  </si>
  <si>
    <t>FP500 3 core fixed to fabric</t>
  </si>
  <si>
    <t>Gripple Kit 1m (ZIPCLIP)</t>
  </si>
  <si>
    <t>Gripple Kit 2m (ZIPCLIP)</t>
  </si>
  <si>
    <t>WAGO 2 Way Connectors (100)</t>
  </si>
  <si>
    <t>Pink Sleeving (1 per Job)</t>
  </si>
  <si>
    <t>Cable price updated, removed shot fired added FP500</t>
  </si>
  <si>
    <t xml:space="preserve">Corrected time on Hilti fixings Added Gripples, </t>
  </si>
  <si>
    <t>pink sleeving &amp; wagos</t>
  </si>
  <si>
    <t>Calculation Error on Linian Clips &amp; Tyrwaps corrected</t>
  </si>
  <si>
    <t>V2.6</t>
  </si>
  <si>
    <t>V2.7</t>
  </si>
  <si>
    <t>Calculation Error on Gripple Kits corrected</t>
  </si>
  <si>
    <t>V2.8</t>
  </si>
  <si>
    <t>Fixed autocalc error on metal tywraps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</si>
</sst>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£&quot;#,##0.00;\-&quot;£&quot;#,##0.00"/>
    <numFmt numFmtId="8" formatCode="&quot;£&quot;#,##0.00;[Red]\-&quot;£&quot;#,##0.00"/>
    <numFmt numFmtId="44" formatCode="_-&quot;£&quot;* #,##0.00_-;\-&quot;£&quot;* #,##0.00_-;_-&quot;£&quot;* &quot;-&quot;??_-;_-@_-"/>
    <numFmt numFmtId="164" formatCode="&quot;£&quot;#,##0.00"/>
  </numFmts>
  <fonts count="1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color rgb="FFFF000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E6E6"/>
        <bgColor indexed="64"/>
      </patternFill>
    </fill>
    <fill>
      <patternFill patternType="solid">
        <fgColor rgb="FFE7E2EE"/>
        <bgColor indexed="64"/>
      </patternFill>
    </fill>
    <fill>
      <patternFill patternType="solid">
        <fgColor rgb="FFD9EDF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2EFF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73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2" borderId="21" xfId="0" applyFont="1" applyFill="1" applyBorder="1" applyAlignment="1" applyProtection="1">
      <alignment horizontal="left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1" fillId="3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2" fontId="1" fillId="3" borderId="22" xfId="0" applyNumberFormat="1" applyFont="1" applyFill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>
      <alignment horizontal="center" vertical="center"/>
    </xf>
    <xf numFmtId="164" fontId="1" fillId="3" borderId="22" xfId="0" applyNumberFormat="1" applyFont="1" applyFill="1" applyBorder="1" applyAlignment="1" applyProtection="1">
      <alignment horizontal="center" vertical="center"/>
      <protection locked="0"/>
    </xf>
    <xf numFmtId="164" fontId="1" fillId="4" borderId="23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25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2" fontId="1" fillId="3" borderId="27" xfId="0" applyNumberFormat="1" applyFont="1" applyFill="1" applyBorder="1" applyAlignment="1" applyProtection="1">
      <alignment horizontal="center" vertical="center"/>
      <protection locked="0"/>
    </xf>
    <xf numFmtId="164" fontId="1" fillId="3" borderId="27" xfId="0" applyNumberFormat="1" applyFont="1" applyFill="1" applyBorder="1" applyAlignment="1" applyProtection="1">
      <alignment horizontal="center" vertical="center"/>
      <protection locked="0"/>
    </xf>
    <xf numFmtId="164" fontId="1" fillId="4" borderId="25" xfId="0" applyNumberFormat="1" applyFont="1" applyFill="1" applyBorder="1" applyAlignment="1">
      <alignment horizontal="center" vertical="center"/>
    </xf>
    <xf numFmtId="2" fontId="1" fillId="4" borderId="23" xfId="0" applyNumberFormat="1" applyFont="1" applyFill="1" applyBorder="1" applyAlignment="1">
      <alignment horizontal="center" vertical="center"/>
    </xf>
    <xf numFmtId="164" fontId="1" fillId="4" borderId="28" xfId="0" applyNumberFormat="1" applyFont="1" applyFill="1" applyBorder="1" applyAlignment="1">
      <alignment horizontal="center" vertical="center"/>
    </xf>
    <xf numFmtId="164" fontId="1" fillId="4" borderId="24" xfId="0" applyNumberFormat="1" applyFont="1" applyFill="1" applyBorder="1" applyAlignment="1">
      <alignment horizontal="center" vertical="center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1" fillId="3" borderId="32" xfId="0" applyFont="1" applyFill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4" borderId="31" xfId="0" applyNumberFormat="1" applyFont="1" applyFill="1" applyBorder="1" applyAlignment="1">
      <alignment horizontal="center" vertical="center"/>
    </xf>
    <xf numFmtId="164" fontId="1" fillId="4" borderId="26" xfId="0" applyNumberFormat="1" applyFont="1" applyFill="1" applyBorder="1" applyAlignment="1">
      <alignment horizontal="center" vertical="center"/>
    </xf>
    <xf numFmtId="164" fontId="1" fillId="4" borderId="22" xfId="0" applyNumberFormat="1" applyFont="1" applyFill="1" applyBorder="1" applyAlignment="1">
      <alignment horizontal="center" vertical="center"/>
    </xf>
    <xf numFmtId="164" fontId="1" fillId="4" borderId="27" xfId="0" applyNumberFormat="1" applyFont="1" applyFill="1" applyBorder="1" applyAlignment="1">
      <alignment horizontal="center" vertical="center"/>
    </xf>
    <xf numFmtId="0" fontId="1" fillId="5" borderId="25" xfId="0" applyFont="1" applyFill="1" applyBorder="1" applyAlignment="1" applyProtection="1">
      <alignment horizontal="center" vertical="center"/>
      <protection locked="0"/>
    </xf>
    <xf numFmtId="0" fontId="2" fillId="5" borderId="25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8" fillId="0" borderId="0" xfId="0" applyFont="1" applyAlignment="1">
      <alignment horizontal="center"/>
    </xf>
    <xf numFmtId="44" fontId="0" fillId="0" borderId="0" xfId="0" applyNumberFormat="1"/>
    <xf numFmtId="0" fontId="1" fillId="6" borderId="25" xfId="0" applyFont="1" applyFill="1" applyBorder="1" applyAlignment="1" applyProtection="1">
      <alignment horizontal="center" vertical="center"/>
      <protection locked="0"/>
    </xf>
    <xf numFmtId="0" fontId="3" fillId="7" borderId="25" xfId="0" applyFont="1" applyFill="1" applyBorder="1" applyAlignment="1" applyProtection="1">
      <alignment horizontal="center" vertical="center"/>
      <protection locked="0"/>
    </xf>
    <xf numFmtId="0" fontId="1" fillId="7" borderId="25" xfId="0" applyFont="1" applyFill="1" applyBorder="1" applyAlignment="1" applyProtection="1">
      <alignment horizontal="center" vertical="center"/>
      <protection locked="0"/>
    </xf>
    <xf numFmtId="0" fontId="1" fillId="8" borderId="25" xfId="0" applyFont="1" applyFill="1" applyBorder="1" applyAlignment="1" applyProtection="1">
      <alignment horizontal="center" vertical="center"/>
      <protection locked="0"/>
    </xf>
    <xf numFmtId="2" fontId="1" fillId="8" borderId="23" xfId="0" applyNumberFormat="1" applyFont="1" applyFill="1" applyBorder="1" applyAlignment="1">
      <alignment horizontal="center" vertical="center"/>
    </xf>
    <xf numFmtId="164" fontId="1" fillId="8" borderId="25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164" fontId="1" fillId="8" borderId="27" xfId="0" applyNumberFormat="1" applyFont="1" applyFill="1" applyBorder="1" applyAlignment="1" applyProtection="1">
      <alignment horizontal="center" vertical="center"/>
      <protection locked="0"/>
    </xf>
    <xf numFmtId="164" fontId="1" fillId="8" borderId="28" xfId="0" applyNumberFormat="1" applyFont="1" applyFill="1" applyBorder="1" applyAlignment="1">
      <alignment horizontal="center" vertical="center"/>
    </xf>
    <xf numFmtId="164" fontId="1" fillId="8" borderId="26" xfId="0" applyNumberFormat="1" applyFont="1" applyFill="1" applyBorder="1" applyAlignment="1">
      <alignment horizontal="center" vertical="center"/>
    </xf>
    <xf numFmtId="164" fontId="1" fillId="8" borderId="27" xfId="0" applyNumberFormat="1" applyFont="1" applyFill="1" applyBorder="1" applyAlignment="1">
      <alignment horizontal="center" vertical="center"/>
    </xf>
    <xf numFmtId="2" fontId="1" fillId="7" borderId="23" xfId="0" applyNumberFormat="1" applyFont="1" applyFill="1" applyBorder="1" applyAlignment="1">
      <alignment horizontal="center" vertical="center"/>
    </xf>
    <xf numFmtId="164" fontId="1" fillId="7" borderId="25" xfId="0" applyNumberFormat="1" applyFont="1" applyFill="1" applyBorder="1" applyAlignment="1">
      <alignment horizontal="center" vertical="center"/>
    </xf>
    <xf numFmtId="164" fontId="1" fillId="7" borderId="9" xfId="0" applyNumberFormat="1" applyFont="1" applyFill="1" applyBorder="1" applyAlignment="1">
      <alignment horizontal="center" vertical="center"/>
    </xf>
    <xf numFmtId="164" fontId="1" fillId="7" borderId="27" xfId="0" applyNumberFormat="1" applyFont="1" applyFill="1" applyBorder="1" applyAlignment="1" applyProtection="1">
      <alignment horizontal="center" vertical="center"/>
      <protection locked="0"/>
    </xf>
    <xf numFmtId="164" fontId="1" fillId="7" borderId="28" xfId="0" applyNumberFormat="1" applyFont="1" applyFill="1" applyBorder="1" applyAlignment="1">
      <alignment horizontal="center" vertical="center"/>
    </xf>
    <xf numFmtId="164" fontId="1" fillId="7" borderId="26" xfId="0" applyNumberFormat="1" applyFont="1" applyFill="1" applyBorder="1" applyAlignment="1">
      <alignment horizontal="center" vertical="center"/>
    </xf>
    <xf numFmtId="164" fontId="1" fillId="7" borderId="27" xfId="0" applyNumberFormat="1" applyFont="1" applyFill="1" applyBorder="1" applyAlignment="1">
      <alignment horizontal="center" vertical="center"/>
    </xf>
    <xf numFmtId="0" fontId="5" fillId="8" borderId="25" xfId="0" applyFont="1" applyFill="1" applyBorder="1" applyAlignment="1" applyProtection="1">
      <alignment horizontal="center" vertical="center"/>
      <protection locked="0"/>
    </xf>
    <xf numFmtId="0" fontId="5" fillId="9" borderId="0" xfId="0" applyFont="1" applyFill="1" applyAlignment="1">
      <alignment horizontal="justify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31" xfId="0" applyNumberFormat="1" applyFont="1" applyFill="1" applyBorder="1" applyAlignment="1">
      <alignment horizontal="center" vertical="center"/>
    </xf>
    <xf numFmtId="164" fontId="1" fillId="5" borderId="9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6" fillId="8" borderId="25" xfId="0" applyFont="1" applyFill="1" applyBorder="1" applyAlignment="1" applyProtection="1">
      <alignment horizontal="center" vertical="center"/>
      <protection locked="0"/>
    </xf>
    <xf numFmtId="0" fontId="1" fillId="10" borderId="25" xfId="0" applyFont="1" applyFill="1" applyBorder="1" applyAlignment="1" applyProtection="1">
      <alignment horizontal="center" vertical="center"/>
      <protection locked="0"/>
    </xf>
    <xf numFmtId="0" fontId="6" fillId="10" borderId="25" xfId="0" applyFont="1" applyFill="1" applyBorder="1" applyAlignment="1" applyProtection="1">
      <alignment horizontal="center" vertical="center"/>
      <protection locked="0"/>
    </xf>
    <xf numFmtId="0" fontId="3" fillId="5" borderId="25" xfId="0" applyFont="1" applyFill="1" applyBorder="1" applyAlignment="1" applyProtection="1">
      <alignment horizontal="center" vertical="center"/>
      <protection locked="0"/>
    </xf>
    <xf numFmtId="164" fontId="1" fillId="5" borderId="27" xfId="0" applyNumberFormat="1" applyFont="1" applyFill="1" applyBorder="1" applyAlignment="1" applyProtection="1">
      <alignment horizontal="center" vertical="center"/>
      <protection locked="0"/>
    </xf>
    <xf numFmtId="164" fontId="1" fillId="12" borderId="25" xfId="0" applyNumberFormat="1" applyFont="1" applyFill="1" applyBorder="1" applyAlignment="1">
      <alignment horizontal="center" vertical="center"/>
    </xf>
    <xf numFmtId="164" fontId="1" fillId="12" borderId="28" xfId="0" applyNumberFormat="1" applyFont="1" applyFill="1" applyBorder="1" applyAlignment="1">
      <alignment horizontal="center" vertical="center"/>
    </xf>
    <xf numFmtId="164" fontId="1" fillId="12" borderId="26" xfId="0" applyNumberFormat="1" applyFont="1" applyFill="1" applyBorder="1" applyAlignment="1">
      <alignment horizontal="center" vertical="center"/>
    </xf>
    <xf numFmtId="164" fontId="1" fillId="12" borderId="27" xfId="0" applyNumberFormat="1" applyFont="1" applyFill="1" applyBorder="1" applyAlignment="1">
      <alignment horizontal="center" vertical="center"/>
    </xf>
    <xf numFmtId="2" fontId="1" fillId="12" borderId="23" xfId="0" applyNumberFormat="1" applyFont="1" applyFill="1" applyBorder="1" applyAlignment="1">
      <alignment horizontal="center" vertical="center"/>
    </xf>
    <xf numFmtId="164" fontId="1" fillId="12" borderId="9" xfId="0" applyNumberFormat="1" applyFont="1" applyFill="1" applyBorder="1" applyAlignment="1">
      <alignment horizontal="center" vertical="center"/>
    </xf>
    <xf numFmtId="0" fontId="1" fillId="12" borderId="25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2" fontId="1" fillId="3" borderId="14" xfId="0" applyNumberFormat="1" applyFont="1" applyFill="1" applyBorder="1" applyAlignment="1" applyProtection="1">
      <alignment horizontal="center" vertical="center"/>
      <protection locked="0"/>
    </xf>
    <xf numFmtId="2" fontId="1" fillId="0" borderId="16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3" borderId="14" xfId="0" applyNumberFormat="1" applyFont="1" applyFill="1" applyBorder="1" applyAlignment="1" applyProtection="1">
      <alignment horizontal="center" vertical="center"/>
      <protection locked="0"/>
    </xf>
    <xf numFmtId="164" fontId="1" fillId="4" borderId="12" xfId="0" applyNumberFormat="1" applyFont="1" applyFill="1" applyBorder="1" applyAlignment="1">
      <alignment horizontal="center" vertical="center"/>
    </xf>
    <xf numFmtId="164" fontId="1" fillId="4" borderId="37" xfId="0" applyNumberFormat="1" applyFont="1" applyFill="1" applyBorder="1" applyAlignment="1">
      <alignment horizontal="center" vertical="center"/>
    </xf>
    <xf numFmtId="164" fontId="1" fillId="4" borderId="38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3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2" fontId="1" fillId="3" borderId="18" xfId="0" applyNumberFormat="1" applyFont="1" applyFill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>
      <alignment horizontal="center" vertical="center"/>
    </xf>
    <xf numFmtId="164" fontId="1" fillId="3" borderId="18" xfId="0" applyNumberFormat="1" applyFont="1" applyFill="1" applyBorder="1" applyAlignment="1" applyProtection="1">
      <alignment horizontal="center" vertical="center"/>
      <protection locked="0"/>
    </xf>
    <xf numFmtId="164" fontId="1" fillId="4" borderId="16" xfId="0" applyNumberFormat="1" applyFont="1" applyFill="1" applyBorder="1" applyAlignment="1">
      <alignment horizontal="center" vertical="center"/>
    </xf>
    <xf numFmtId="164" fontId="1" fillId="4" borderId="35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5" borderId="24" xfId="0" applyNumberFormat="1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0" fontId="0" fillId="5" borderId="18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5" fillId="5" borderId="35" xfId="0" applyFont="1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5" fillId="11" borderId="35" xfId="0" applyFont="1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8" xfId="0" applyFill="1" applyBorder="1" applyAlignment="1">
      <alignment vertical="center"/>
    </xf>
    <xf numFmtId="0" fontId="0" fillId="11" borderId="35" xfId="0" applyFill="1" applyBorder="1" applyAlignment="1">
      <alignment vertical="center"/>
    </xf>
    <xf numFmtId="0" fontId="0" fillId="11" borderId="20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10" fillId="11" borderId="0" xfId="0" applyFont="1" applyFill="1" applyAlignment="1">
      <alignment vertical="center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0" fontId="2" fillId="5" borderId="13" xfId="0" applyFont="1" applyFill="1" applyBorder="1" applyAlignment="1" applyProtection="1">
      <alignment horizontal="center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9" fillId="11" borderId="34" xfId="0" applyFont="1" applyFill="1" applyBorder="1" applyAlignment="1" applyProtection="1">
      <alignment horizontal="center" vertical="center"/>
      <protection locked="0"/>
    </xf>
    <xf numFmtId="0" fontId="9" fillId="11" borderId="42" xfId="0" applyFont="1" applyFill="1" applyBorder="1" applyAlignment="1" applyProtection="1">
      <alignment horizontal="center" vertical="center"/>
      <protection locked="0"/>
    </xf>
    <xf numFmtId="2" fontId="9" fillId="11" borderId="41" xfId="0" applyNumberFormat="1" applyFont="1" applyFill="1" applyBorder="1" applyAlignment="1" applyProtection="1">
      <alignment horizontal="center" vertical="center"/>
      <protection locked="0"/>
    </xf>
    <xf numFmtId="2" fontId="9" fillId="11" borderId="43" xfId="0" applyNumberFormat="1" applyFont="1" applyFill="1" applyBorder="1" applyAlignment="1" applyProtection="1">
      <alignment horizontal="center" vertical="center"/>
      <protection locked="0"/>
    </xf>
    <xf numFmtId="0" fontId="2" fillId="8" borderId="25" xfId="0" applyFont="1" applyFill="1" applyBorder="1" applyAlignment="1" applyProtection="1">
      <alignment horizontal="center" vertical="center"/>
      <protection locked="0"/>
    </xf>
    <xf numFmtId="164" fontId="1" fillId="9" borderId="27" xfId="0" applyNumberFormat="1" applyFont="1" applyFill="1" applyBorder="1" applyAlignment="1" applyProtection="1">
      <alignment horizontal="center" vertic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10" fillId="11" borderId="2" xfId="0" applyFont="1" applyFill="1" applyBorder="1" applyProtection="1">
      <protection locked="0"/>
    </xf>
    <xf numFmtId="0" fontId="3" fillId="11" borderId="25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vertical="center"/>
    </xf>
    <xf numFmtId="0" fontId="1" fillId="13" borderId="25" xfId="0" applyFont="1" applyFill="1" applyBorder="1" applyAlignment="1" applyProtection="1">
      <alignment horizontal="center" vertical="center"/>
      <protection locked="0"/>
    </xf>
    <xf numFmtId="0" fontId="2" fillId="13" borderId="25" xfId="0" applyFont="1" applyFill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14" borderId="25" xfId="0" applyFont="1" applyFill="1" applyBorder="1" applyAlignment="1" applyProtection="1">
      <alignment horizontal="center" vertical="center"/>
      <protection locked="0"/>
    </xf>
    <xf numFmtId="0" fontId="2" fillId="14" borderId="25" xfId="0" applyFont="1" applyFill="1" applyBorder="1" applyAlignment="1" applyProtection="1">
      <alignment horizontal="center" vertical="center"/>
      <protection locked="0"/>
    </xf>
    <xf numFmtId="0" fontId="1" fillId="9" borderId="25" xfId="0" applyFont="1" applyFill="1" applyBorder="1" applyAlignment="1" applyProtection="1">
      <alignment horizontal="center" vertical="center"/>
      <protection locked="0"/>
    </xf>
    <xf numFmtId="0" fontId="2" fillId="9" borderId="25" xfId="0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/>
    </xf>
    <xf numFmtId="164" fontId="1" fillId="11" borderId="27" xfId="0" applyNumberFormat="1" applyFont="1" applyFill="1" applyBorder="1" applyAlignment="1" applyProtection="1">
      <alignment horizontal="center" vertical="center"/>
      <protection locked="0"/>
    </xf>
    <xf numFmtId="0" fontId="1" fillId="11" borderId="25" xfId="0" applyFont="1" applyFill="1" applyBorder="1" applyAlignment="1" applyProtection="1">
      <alignment horizontal="center" vertical="center"/>
      <protection locked="0"/>
    </xf>
    <xf numFmtId="0" fontId="2" fillId="11" borderId="25" xfId="0" applyFont="1" applyFill="1" applyBorder="1" applyAlignment="1" applyProtection="1">
      <alignment horizontal="center" vertical="center"/>
      <protection locked="0"/>
    </xf>
    <xf numFmtId="0" fontId="1" fillId="16" borderId="25" xfId="0" applyFont="1" applyFill="1" applyBorder="1" applyAlignment="1" applyProtection="1">
      <alignment horizontal="center" vertical="center"/>
      <protection locked="0"/>
    </xf>
    <xf numFmtId="0" fontId="2" fillId="16" borderId="25" xfId="0" applyFont="1" applyFill="1" applyBorder="1" applyAlignment="1" applyProtection="1">
      <alignment horizontal="center" vertical="center"/>
      <protection locked="0"/>
    </xf>
    <xf numFmtId="164" fontId="1" fillId="16" borderId="27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2" fontId="1" fillId="11" borderId="27" xfId="0" applyNumberFormat="1" applyFont="1" applyFill="1" applyBorder="1" applyAlignment="1" applyProtection="1">
      <alignment horizontal="center" vertical="center"/>
      <protection locked="0"/>
    </xf>
    <xf numFmtId="2" fontId="1" fillId="11" borderId="23" xfId="0" applyNumberFormat="1" applyFont="1" applyFill="1" applyBorder="1" applyAlignment="1">
      <alignment horizontal="center" vertical="center"/>
    </xf>
    <xf numFmtId="164" fontId="1" fillId="11" borderId="25" xfId="0" applyNumberFormat="1" applyFont="1" applyFill="1" applyBorder="1" applyAlignment="1">
      <alignment horizontal="center" vertical="center"/>
    </xf>
    <xf numFmtId="164" fontId="1" fillId="11" borderId="9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5" fillId="0" borderId="37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2" fontId="1" fillId="5" borderId="27" xfId="0" applyNumberFormat="1" applyFont="1" applyFill="1" applyBorder="1" applyAlignment="1" applyProtection="1">
      <alignment horizontal="center" vertical="center"/>
      <protection locked="0"/>
    </xf>
    <xf numFmtId="2" fontId="1" fillId="5" borderId="23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11" borderId="44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2" fontId="0" fillId="11" borderId="44" xfId="0" applyNumberFormat="1" applyFill="1" applyBorder="1" applyAlignment="1">
      <alignment vertical="center"/>
    </xf>
    <xf numFmtId="0" fontId="1" fillId="3" borderId="28" xfId="0" applyFont="1" applyFill="1" applyBorder="1" applyAlignment="1" applyProtection="1">
      <alignment horizontal="center" vertical="center"/>
      <protection locked="0"/>
    </xf>
    <xf numFmtId="0" fontId="1" fillId="0" borderId="5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17" borderId="25" xfId="0" applyFont="1" applyFill="1" applyBorder="1" applyAlignment="1" applyProtection="1">
      <alignment horizontal="center" vertical="center"/>
      <protection locked="0"/>
    </xf>
    <xf numFmtId="0" fontId="6" fillId="17" borderId="25" xfId="0" applyFont="1" applyFill="1" applyBorder="1" applyAlignment="1" applyProtection="1">
      <alignment horizontal="center" vertical="center"/>
      <protection locked="0"/>
    </xf>
    <xf numFmtId="0" fontId="6" fillId="11" borderId="25" xfId="0" applyFont="1" applyFill="1" applyBorder="1" applyAlignment="1" applyProtection="1">
      <alignment horizontal="center" vertical="center"/>
      <protection locked="0"/>
    </xf>
    <xf numFmtId="0" fontId="1" fillId="15" borderId="26" xfId="0" applyFont="1" applyFill="1" applyBorder="1" applyAlignment="1" applyProtection="1">
      <alignment horizontal="center" vertical="center"/>
      <protection locked="0"/>
    </xf>
    <xf numFmtId="0" fontId="1" fillId="15" borderId="24" xfId="0" applyFont="1" applyFill="1" applyBorder="1" applyAlignment="1" applyProtection="1">
      <alignment horizontal="center" vertical="center"/>
      <protection locked="0"/>
    </xf>
    <xf numFmtId="164" fontId="3" fillId="2" borderId="3" xfId="0" applyNumberFormat="1" applyFont="1" applyFill="1" applyBorder="1" applyAlignment="1" applyProtection="1">
      <alignment horizontal="center"/>
      <protection locked="0"/>
    </xf>
    <xf numFmtId="0" fontId="1" fillId="15" borderId="33" xfId="0" applyFont="1" applyFill="1" applyBorder="1" applyAlignment="1" applyProtection="1">
      <alignment horizontal="center" vertical="center"/>
      <protection locked="0"/>
    </xf>
    <xf numFmtId="2" fontId="1" fillId="3" borderId="53" xfId="0" applyNumberFormat="1" applyFont="1" applyFill="1" applyBorder="1" applyAlignment="1" applyProtection="1">
      <alignment horizontal="center" vertical="center"/>
      <protection locked="0"/>
    </xf>
    <xf numFmtId="2" fontId="1" fillId="0" borderId="32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164" fontId="1" fillId="3" borderId="53" xfId="0" applyNumberFormat="1" applyFont="1" applyFill="1" applyBorder="1" applyAlignment="1" applyProtection="1">
      <alignment horizontal="center" vertical="center"/>
      <protection locked="0"/>
    </xf>
    <xf numFmtId="164" fontId="1" fillId="4" borderId="32" xfId="0" applyNumberFormat="1" applyFont="1" applyFill="1" applyBorder="1" applyAlignment="1">
      <alignment horizontal="center" vertical="center"/>
    </xf>
    <xf numFmtId="164" fontId="1" fillId="4" borderId="57" xfId="0" applyNumberFormat="1" applyFont="1" applyFill="1" applyBorder="1" applyAlignment="1">
      <alignment horizontal="center" vertical="center"/>
    </xf>
    <xf numFmtId="164" fontId="1" fillId="4" borderId="33" xfId="0" applyNumberFormat="1" applyFont="1" applyFill="1" applyBorder="1" applyAlignment="1">
      <alignment horizontal="center" vertical="center"/>
    </xf>
    <xf numFmtId="164" fontId="1" fillId="4" borderId="53" xfId="0" applyNumberFormat="1" applyFont="1" applyFill="1" applyBorder="1" applyAlignment="1">
      <alignment horizontal="center" vertical="center"/>
    </xf>
    <xf numFmtId="44" fontId="0" fillId="9" borderId="0" xfId="0" applyNumberFormat="1" applyFill="1" applyAlignment="1">
      <alignment vertical="center"/>
    </xf>
    <xf numFmtId="164" fontId="0" fillId="9" borderId="0" xfId="0" applyNumberFormat="1" applyFill="1" applyAlignment="1">
      <alignment vertical="center"/>
    </xf>
    <xf numFmtId="0" fontId="5" fillId="9" borderId="44" xfId="0" applyFont="1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5" fillId="9" borderId="0" xfId="0" applyFont="1" applyFill="1" applyAlignment="1">
      <alignment vertical="center"/>
    </xf>
    <xf numFmtId="0" fontId="0" fillId="9" borderId="44" xfId="0" applyFill="1" applyBorder="1" applyAlignment="1">
      <alignment vertical="center"/>
    </xf>
    <xf numFmtId="0" fontId="5" fillId="9" borderId="49" xfId="0" applyFont="1" applyFill="1" applyBorder="1" applyAlignment="1">
      <alignment vertical="center"/>
    </xf>
    <xf numFmtId="164" fontId="3" fillId="11" borderId="0" xfId="0" applyNumberFormat="1" applyFont="1" applyFill="1" applyAlignment="1">
      <alignment horizontal="center"/>
    </xf>
    <xf numFmtId="44" fontId="0" fillId="11" borderId="50" xfId="0" applyNumberFormat="1" applyFill="1" applyBorder="1" applyAlignment="1">
      <alignment vertical="center"/>
    </xf>
    <xf numFmtId="44" fontId="0" fillId="15" borderId="48" xfId="0" applyNumberFormat="1" applyFill="1" applyBorder="1" applyAlignment="1">
      <alignment vertical="center"/>
    </xf>
    <xf numFmtId="44" fontId="3" fillId="0" borderId="0" xfId="0" applyNumberFormat="1" applyFont="1" applyAlignment="1">
      <alignment horizontal="center"/>
    </xf>
    <xf numFmtId="44" fontId="3" fillId="13" borderId="4" xfId="0" applyNumberFormat="1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44" fontId="0" fillId="15" borderId="0" xfId="0" applyNumberFormat="1" applyFill="1" applyAlignment="1">
      <alignment vertical="center"/>
    </xf>
    <xf numFmtId="0" fontId="5" fillId="15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1" borderId="26" xfId="0" applyFont="1" applyFill="1" applyBorder="1" applyAlignment="1" applyProtection="1">
      <alignment horizontal="center" vertical="center"/>
      <protection locked="0"/>
    </xf>
    <xf numFmtId="164" fontId="1" fillId="19" borderId="3" xfId="0" applyNumberFormat="1" applyFont="1" applyFill="1" applyBorder="1" applyAlignment="1">
      <alignment vertical="center"/>
    </xf>
    <xf numFmtId="164" fontId="1" fillId="19" borderId="31" xfId="0" applyNumberFormat="1" applyFont="1" applyFill="1" applyBorder="1" applyAlignment="1">
      <alignment horizontal="center" vertical="center"/>
    </xf>
    <xf numFmtId="164" fontId="1" fillId="19" borderId="25" xfId="0" applyNumberFormat="1" applyFont="1" applyFill="1" applyBorder="1" applyAlignment="1">
      <alignment horizontal="center" vertical="center"/>
    </xf>
    <xf numFmtId="0" fontId="1" fillId="19" borderId="67" xfId="0" applyFont="1" applyFill="1" applyBorder="1" applyAlignment="1">
      <alignment horizontal="center" vertical="center"/>
    </xf>
    <xf numFmtId="2" fontId="9" fillId="19" borderId="41" xfId="0" applyNumberFormat="1" applyFont="1" applyFill="1" applyBorder="1" applyAlignment="1">
      <alignment horizontal="center" vertical="center"/>
    </xf>
    <xf numFmtId="2" fontId="9" fillId="19" borderId="68" xfId="0" applyNumberFormat="1" applyFont="1" applyFill="1" applyBorder="1" applyAlignment="1">
      <alignment horizontal="center" vertical="center"/>
    </xf>
    <xf numFmtId="2" fontId="1" fillId="19" borderId="67" xfId="0" applyNumberFormat="1" applyFont="1" applyFill="1" applyBorder="1" applyAlignment="1">
      <alignment horizontal="center" vertical="center"/>
    </xf>
    <xf numFmtId="2" fontId="1" fillId="19" borderId="41" xfId="0" applyNumberFormat="1" applyFont="1" applyFill="1" applyBorder="1" applyAlignment="1">
      <alignment horizontal="center" vertical="center"/>
    </xf>
    <xf numFmtId="164" fontId="1" fillId="19" borderId="49" xfId="0" applyNumberFormat="1" applyFont="1" applyFill="1" applyBorder="1" applyAlignment="1">
      <alignment vertical="center"/>
    </xf>
    <xf numFmtId="164" fontId="1" fillId="19" borderId="67" xfId="0" applyNumberFormat="1" applyFont="1" applyFill="1" applyBorder="1" applyAlignment="1">
      <alignment horizontal="center" vertical="center"/>
    </xf>
    <xf numFmtId="164" fontId="1" fillId="19" borderId="41" xfId="0" applyNumberFormat="1" applyFont="1" applyFill="1" applyBorder="1" applyAlignment="1">
      <alignment horizontal="center" vertical="center"/>
    </xf>
    <xf numFmtId="164" fontId="1" fillId="19" borderId="58" xfId="0" applyNumberFormat="1" applyFont="1" applyFill="1" applyBorder="1" applyAlignment="1">
      <alignment horizontal="center" vertical="center"/>
    </xf>
    <xf numFmtId="164" fontId="1" fillId="19" borderId="12" xfId="0" applyNumberFormat="1" applyFont="1" applyFill="1" applyBorder="1" applyAlignment="1">
      <alignment horizontal="center" vertical="center"/>
    </xf>
    <xf numFmtId="0" fontId="16" fillId="21" borderId="41" xfId="0" applyFont="1" applyFill="1" applyBorder="1" applyAlignment="1">
      <alignment horizontal="center" vertical="center"/>
    </xf>
    <xf numFmtId="1" fontId="2" fillId="21" borderId="68" xfId="0" applyNumberFormat="1" applyFont="1" applyFill="1" applyBorder="1" applyAlignment="1">
      <alignment horizontal="center" vertical="center"/>
    </xf>
    <xf numFmtId="2" fontId="2" fillId="21" borderId="67" xfId="0" applyNumberFormat="1" applyFont="1" applyFill="1" applyBorder="1" applyAlignment="1">
      <alignment horizontal="center" vertical="center"/>
    </xf>
    <xf numFmtId="2" fontId="2" fillId="21" borderId="41" xfId="0" applyNumberFormat="1" applyFont="1" applyFill="1" applyBorder="1" applyAlignment="1">
      <alignment horizontal="center" vertical="center"/>
    </xf>
    <xf numFmtId="164" fontId="2" fillId="21" borderId="68" xfId="0" applyNumberFormat="1" applyFont="1" applyFill="1" applyBorder="1" applyAlignment="1">
      <alignment vertical="center"/>
    </xf>
    <xf numFmtId="44" fontId="2" fillId="21" borderId="67" xfId="2" applyFont="1" applyFill="1" applyBorder="1" applyAlignment="1" applyProtection="1">
      <alignment horizontal="center" vertical="center"/>
    </xf>
    <xf numFmtId="44" fontId="2" fillId="21" borderId="41" xfId="2" applyFont="1" applyFill="1" applyBorder="1" applyAlignment="1" applyProtection="1">
      <alignment horizontal="center" vertical="center"/>
    </xf>
    <xf numFmtId="164" fontId="1" fillId="21" borderId="58" xfId="0" applyNumberFormat="1" applyFont="1" applyFill="1" applyBorder="1" applyAlignment="1">
      <alignment horizontal="center" vertical="top"/>
    </xf>
    <xf numFmtId="44" fontId="1" fillId="21" borderId="12" xfId="2" applyFont="1" applyFill="1" applyBorder="1" applyAlignment="1" applyProtection="1">
      <alignment horizontal="center" vertical="center"/>
    </xf>
    <xf numFmtId="2" fontId="1" fillId="21" borderId="12" xfId="0" applyNumberFormat="1" applyFont="1" applyFill="1" applyBorder="1" applyAlignment="1">
      <alignment horizontal="center" vertical="center"/>
    </xf>
    <xf numFmtId="164" fontId="1" fillId="21" borderId="13" xfId="0" applyNumberFormat="1" applyFont="1" applyFill="1" applyBorder="1" applyAlignment="1">
      <alignment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5" xfId="0" applyFont="1" applyFill="1" applyBorder="1" applyAlignment="1">
      <alignment horizontal="center" vertical="center"/>
    </xf>
    <xf numFmtId="1" fontId="1" fillId="21" borderId="26" xfId="0" applyNumberFormat="1" applyFont="1" applyFill="1" applyBorder="1" applyAlignment="1">
      <alignment horizontal="center" vertical="center"/>
    </xf>
    <xf numFmtId="2" fontId="1" fillId="21" borderId="31" xfId="0" applyNumberFormat="1" applyFont="1" applyFill="1" applyBorder="1" applyAlignment="1">
      <alignment horizontal="center" vertical="center"/>
    </xf>
    <xf numFmtId="2" fontId="1" fillId="21" borderId="25" xfId="0" applyNumberFormat="1" applyFont="1" applyFill="1" applyBorder="1" applyAlignment="1">
      <alignment horizontal="center" vertical="center"/>
    </xf>
    <xf numFmtId="164" fontId="1" fillId="21" borderId="26" xfId="0" applyNumberFormat="1" applyFont="1" applyFill="1" applyBorder="1" applyAlignment="1">
      <alignment vertical="center"/>
    </xf>
    <xf numFmtId="44" fontId="2" fillId="21" borderId="31" xfId="2" applyFont="1" applyFill="1" applyBorder="1" applyAlignment="1" applyProtection="1">
      <alignment horizontal="center" vertical="center"/>
    </xf>
    <xf numFmtId="44" fontId="1" fillId="21" borderId="25" xfId="2" applyFont="1" applyFill="1" applyBorder="1" applyAlignment="1" applyProtection="1">
      <alignment horizontal="center" vertical="center"/>
    </xf>
    <xf numFmtId="164" fontId="1" fillId="21" borderId="40" xfId="0" applyNumberFormat="1" applyFont="1" applyFill="1" applyBorder="1" applyAlignment="1">
      <alignment horizontal="center" vertical="center"/>
    </xf>
    <xf numFmtId="0" fontId="1" fillId="21" borderId="23" xfId="0" applyFont="1" applyFill="1" applyBorder="1" applyAlignment="1">
      <alignment horizontal="center" vertical="center"/>
    </xf>
    <xf numFmtId="1" fontId="1" fillId="21" borderId="24" xfId="0" applyNumberFormat="1" applyFont="1" applyFill="1" applyBorder="1" applyAlignment="1">
      <alignment horizontal="center" vertical="center"/>
    </xf>
    <xf numFmtId="2" fontId="1" fillId="21" borderId="28" xfId="0" applyNumberFormat="1" applyFont="1" applyFill="1" applyBorder="1" applyAlignment="1">
      <alignment horizontal="center" vertical="center"/>
    </xf>
    <xf numFmtId="44" fontId="1" fillId="21" borderId="28" xfId="2" applyFont="1" applyFill="1" applyBorder="1" applyAlignment="1" applyProtection="1">
      <alignment horizontal="center" vertical="center"/>
    </xf>
    <xf numFmtId="164" fontId="1" fillId="21" borderId="3" xfId="0" applyNumberFormat="1" applyFont="1" applyFill="1" applyBorder="1" applyAlignment="1">
      <alignment vertical="center"/>
    </xf>
    <xf numFmtId="44" fontId="1" fillId="21" borderId="31" xfId="2" applyFont="1" applyFill="1" applyBorder="1" applyAlignment="1" applyProtection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1" fillId="20" borderId="17" xfId="0" applyFont="1" applyFill="1" applyBorder="1" applyAlignment="1">
      <alignment horizontal="center" vertical="center"/>
    </xf>
    <xf numFmtId="2" fontId="1" fillId="20" borderId="18" xfId="0" applyNumberFormat="1" applyFont="1" applyFill="1" applyBorder="1" applyAlignment="1">
      <alignment horizontal="center" vertical="center"/>
    </xf>
    <xf numFmtId="2" fontId="1" fillId="20" borderId="16" xfId="0" applyNumberFormat="1" applyFont="1" applyFill="1" applyBorder="1" applyAlignment="1">
      <alignment horizontal="center" vertical="center"/>
    </xf>
    <xf numFmtId="164" fontId="1" fillId="20" borderId="48" xfId="0" applyNumberFormat="1" applyFont="1" applyFill="1" applyBorder="1" applyAlignment="1">
      <alignment vertical="center"/>
    </xf>
    <xf numFmtId="164" fontId="1" fillId="20" borderId="18" xfId="0" applyNumberFormat="1" applyFont="1" applyFill="1" applyBorder="1" applyAlignment="1">
      <alignment horizontal="center" vertical="center"/>
    </xf>
    <xf numFmtId="164" fontId="1" fillId="20" borderId="16" xfId="0" applyNumberFormat="1" applyFont="1" applyFill="1" applyBorder="1" applyAlignment="1">
      <alignment horizontal="center" vertical="center"/>
    </xf>
    <xf numFmtId="164" fontId="1" fillId="20" borderId="60" xfId="0" applyNumberFormat="1" applyFont="1" applyFill="1" applyBorder="1" applyAlignment="1">
      <alignment horizontal="center" vertical="center"/>
    </xf>
    <xf numFmtId="0" fontId="1" fillId="21" borderId="29" xfId="0" applyFont="1" applyFill="1" applyBorder="1" applyAlignment="1">
      <alignment horizontal="center" vertical="center"/>
    </xf>
    <xf numFmtId="0" fontId="1" fillId="21" borderId="30" xfId="0" applyFont="1" applyFill="1" applyBorder="1" applyAlignment="1">
      <alignment horizontal="center" vertical="center"/>
    </xf>
    <xf numFmtId="2" fontId="1" fillId="21" borderId="29" xfId="0" applyNumberFormat="1" applyFont="1" applyFill="1" applyBorder="1" applyAlignment="1">
      <alignment horizontal="center" vertical="center"/>
    </xf>
    <xf numFmtId="2" fontId="1" fillId="21" borderId="66" xfId="0" applyNumberFormat="1" applyFont="1" applyFill="1" applyBorder="1" applyAlignment="1">
      <alignment horizontal="center" vertical="center"/>
    </xf>
    <xf numFmtId="164" fontId="1" fillId="21" borderId="64" xfId="0" applyNumberFormat="1" applyFont="1" applyFill="1" applyBorder="1" applyAlignment="1">
      <alignment vertical="center"/>
    </xf>
    <xf numFmtId="44" fontId="1" fillId="21" borderId="29" xfId="2" applyFont="1" applyFill="1" applyBorder="1" applyAlignment="1" applyProtection="1">
      <alignment horizontal="center" vertical="center"/>
    </xf>
    <xf numFmtId="44" fontId="1" fillId="21" borderId="66" xfId="2" applyFont="1" applyFill="1" applyBorder="1" applyAlignment="1" applyProtection="1">
      <alignment horizontal="center" vertical="center"/>
    </xf>
    <xf numFmtId="164" fontId="1" fillId="21" borderId="69" xfId="0" applyNumberFormat="1" applyFont="1" applyFill="1" applyBorder="1" applyAlignment="1">
      <alignment horizontal="center" vertical="center"/>
    </xf>
    <xf numFmtId="0" fontId="1" fillId="21" borderId="26" xfId="0" applyFont="1" applyFill="1" applyBorder="1" applyAlignment="1">
      <alignment horizontal="center" vertical="center"/>
    </xf>
    <xf numFmtId="0" fontId="18" fillId="21" borderId="31" xfId="0" applyFont="1" applyFill="1" applyBorder="1" applyAlignment="1">
      <alignment horizontal="center" vertical="center"/>
    </xf>
    <xf numFmtId="0" fontId="18" fillId="21" borderId="26" xfId="0" applyFont="1" applyFill="1" applyBorder="1" applyAlignment="1">
      <alignment horizontal="center" vertical="center"/>
    </xf>
    <xf numFmtId="0" fontId="2" fillId="21" borderId="41" xfId="0" applyFont="1" applyFill="1" applyBorder="1" applyAlignment="1">
      <alignment horizontal="center" vertical="center"/>
    </xf>
    <xf numFmtId="2" fontId="1" fillId="21" borderId="23" xfId="0" applyNumberFormat="1" applyFont="1" applyFill="1" applyBorder="1" applyAlignment="1">
      <alignment horizontal="center" vertical="center"/>
    </xf>
    <xf numFmtId="164" fontId="1" fillId="21" borderId="24" xfId="0" applyNumberFormat="1" applyFont="1" applyFill="1" applyBorder="1" applyAlignment="1">
      <alignment vertical="center"/>
    </xf>
    <xf numFmtId="44" fontId="2" fillId="21" borderId="28" xfId="2" applyFont="1" applyFill="1" applyBorder="1" applyAlignment="1" applyProtection="1">
      <alignment horizontal="center" vertical="center"/>
    </xf>
    <xf numFmtId="164" fontId="1" fillId="21" borderId="61" xfId="0" applyNumberFormat="1" applyFont="1" applyFill="1" applyBorder="1" applyAlignment="1">
      <alignment horizontal="center" vertical="top"/>
    </xf>
    <xf numFmtId="2" fontId="1" fillId="21" borderId="15" xfId="0" applyNumberFormat="1" applyFont="1" applyFill="1" applyBorder="1" applyAlignment="1">
      <alignment horizontal="center" vertical="center"/>
    </xf>
    <xf numFmtId="2" fontId="1" fillId="21" borderId="16" xfId="0" applyNumberFormat="1" applyFont="1" applyFill="1" applyBorder="1" applyAlignment="1">
      <alignment horizontal="center" vertical="center"/>
    </xf>
    <xf numFmtId="164" fontId="1" fillId="21" borderId="17" xfId="0" applyNumberFormat="1" applyFont="1" applyFill="1" applyBorder="1" applyAlignment="1">
      <alignment vertical="center"/>
    </xf>
    <xf numFmtId="164" fontId="1" fillId="21" borderId="60" xfId="0" applyNumberFormat="1" applyFont="1" applyFill="1" applyBorder="1" applyAlignment="1">
      <alignment horizontal="center" vertical="top"/>
    </xf>
    <xf numFmtId="2" fontId="1" fillId="21" borderId="11" xfId="0" applyNumberFormat="1" applyFont="1" applyFill="1" applyBorder="1" applyAlignment="1">
      <alignment horizontal="center" vertical="center"/>
    </xf>
    <xf numFmtId="44" fontId="1" fillId="21" borderId="11" xfId="2" applyFont="1" applyFill="1" applyBorder="1" applyAlignment="1" applyProtection="1">
      <alignment horizontal="center" vertical="center"/>
    </xf>
    <xf numFmtId="164" fontId="1" fillId="21" borderId="62" xfId="0" applyNumberFormat="1" applyFont="1" applyFill="1" applyBorder="1" applyAlignment="1">
      <alignment horizontal="center" vertical="top"/>
    </xf>
    <xf numFmtId="2" fontId="1" fillId="21" borderId="67" xfId="0" applyNumberFormat="1" applyFont="1" applyFill="1" applyBorder="1" applyAlignment="1">
      <alignment horizontal="center" vertical="center"/>
    </xf>
    <xf numFmtId="2" fontId="1" fillId="21" borderId="41" xfId="0" applyNumberFormat="1" applyFont="1" applyFill="1" applyBorder="1" applyAlignment="1">
      <alignment horizontal="center" vertical="center"/>
    </xf>
    <xf numFmtId="44" fontId="1" fillId="21" borderId="67" xfId="2" applyFont="1" applyFill="1" applyBorder="1" applyAlignment="1" applyProtection="1">
      <alignment horizontal="center" vertical="center"/>
    </xf>
    <xf numFmtId="44" fontId="1" fillId="21" borderId="23" xfId="2" applyFont="1" applyFill="1" applyBorder="1" applyAlignment="1" applyProtection="1">
      <alignment horizontal="center" vertical="center"/>
    </xf>
    <xf numFmtId="2" fontId="2" fillId="21" borderId="28" xfId="0" applyNumberFormat="1" applyFont="1" applyFill="1" applyBorder="1" applyAlignment="1">
      <alignment horizontal="center" vertical="center"/>
    </xf>
    <xf numFmtId="2" fontId="2" fillId="21" borderId="23" xfId="0" applyNumberFormat="1" applyFont="1" applyFill="1" applyBorder="1" applyAlignment="1">
      <alignment horizontal="center" vertical="center"/>
    </xf>
    <xf numFmtId="164" fontId="2" fillId="21" borderId="24" xfId="0" applyNumberFormat="1" applyFont="1" applyFill="1" applyBorder="1" applyAlignment="1">
      <alignment vertical="center"/>
    </xf>
    <xf numFmtId="44" fontId="2" fillId="21" borderId="23" xfId="2" applyFont="1" applyFill="1" applyBorder="1" applyAlignment="1" applyProtection="1">
      <alignment horizontal="center" vertical="center"/>
    </xf>
    <xf numFmtId="164" fontId="1" fillId="21" borderId="61" xfId="0" applyNumberFormat="1" applyFont="1" applyFill="1" applyBorder="1" applyAlignment="1">
      <alignment horizontal="center" vertical="center"/>
    </xf>
    <xf numFmtId="164" fontId="1" fillId="21" borderId="60" xfId="0" applyNumberFormat="1" applyFont="1" applyFill="1" applyBorder="1" applyAlignment="1">
      <alignment horizontal="center" vertical="center"/>
    </xf>
    <xf numFmtId="164" fontId="2" fillId="21" borderId="49" xfId="0" applyNumberFormat="1" applyFont="1" applyFill="1" applyBorder="1" applyAlignment="1">
      <alignment horizontal="right" vertical="center"/>
    </xf>
    <xf numFmtId="164" fontId="1" fillId="21" borderId="25" xfId="0" applyNumberFormat="1" applyFont="1" applyFill="1" applyBorder="1" applyAlignment="1">
      <alignment horizontal="center" vertical="center"/>
    </xf>
    <xf numFmtId="164" fontId="1" fillId="21" borderId="9" xfId="0" applyNumberFormat="1" applyFont="1" applyFill="1" applyBorder="1" applyAlignment="1">
      <alignment horizontal="center" vertical="center"/>
    </xf>
    <xf numFmtId="164" fontId="2" fillId="21" borderId="49" xfId="0" applyNumberFormat="1" applyFont="1" applyFill="1" applyBorder="1" applyAlignment="1">
      <alignment vertical="center"/>
    </xf>
    <xf numFmtId="164" fontId="1" fillId="21" borderId="58" xfId="0" applyNumberFormat="1" applyFont="1" applyFill="1" applyBorder="1" applyAlignment="1">
      <alignment horizontal="center" vertical="center"/>
    </xf>
    <xf numFmtId="0" fontId="1" fillId="21" borderId="68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2" fillId="21" borderId="68" xfId="0" applyFont="1" applyFill="1" applyBorder="1" applyAlignment="1">
      <alignment horizontal="center" vertical="center"/>
    </xf>
    <xf numFmtId="164" fontId="1" fillId="19" borderId="11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2" borderId="30" xfId="0" applyFont="1" applyFill="1" applyBorder="1" applyAlignment="1">
      <alignment horizontal="center" vertical="center"/>
    </xf>
    <xf numFmtId="2" fontId="1" fillId="22" borderId="29" xfId="0" applyNumberFormat="1" applyFont="1" applyFill="1" applyBorder="1" applyAlignment="1">
      <alignment horizontal="center" vertical="center"/>
    </xf>
    <xf numFmtId="2" fontId="1" fillId="22" borderId="66" xfId="0" applyNumberFormat="1" applyFont="1" applyFill="1" applyBorder="1" applyAlignment="1">
      <alignment horizontal="center" vertical="center"/>
    </xf>
    <xf numFmtId="164" fontId="1" fillId="22" borderId="64" xfId="0" applyNumberFormat="1" applyFont="1" applyFill="1" applyBorder="1" applyAlignment="1">
      <alignment horizontal="center" vertical="center"/>
    </xf>
    <xf numFmtId="44" fontId="1" fillId="22" borderId="65" xfId="2" applyFont="1" applyFill="1" applyBorder="1" applyAlignment="1" applyProtection="1">
      <alignment horizontal="center" vertical="center"/>
    </xf>
    <xf numFmtId="44" fontId="1" fillId="22" borderId="66" xfId="2" applyFont="1" applyFill="1" applyBorder="1" applyAlignment="1" applyProtection="1">
      <alignment horizontal="center" vertical="center"/>
    </xf>
    <xf numFmtId="164" fontId="1" fillId="22" borderId="69" xfId="0" applyNumberFormat="1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/>
    </xf>
    <xf numFmtId="2" fontId="1" fillId="22" borderId="28" xfId="0" applyNumberFormat="1" applyFont="1" applyFill="1" applyBorder="1" applyAlignment="1">
      <alignment horizontal="center" vertical="center"/>
    </xf>
    <xf numFmtId="2" fontId="1" fillId="22" borderId="23" xfId="0" applyNumberFormat="1" applyFont="1" applyFill="1" applyBorder="1" applyAlignment="1">
      <alignment horizontal="center" vertical="center"/>
    </xf>
    <xf numFmtId="164" fontId="1" fillId="22" borderId="9" xfId="0" applyNumberFormat="1" applyFont="1" applyFill="1" applyBorder="1" applyAlignment="1">
      <alignment horizontal="center" vertical="center"/>
    </xf>
    <xf numFmtId="44" fontId="1" fillId="22" borderId="22" xfId="2" applyFont="1" applyFill="1" applyBorder="1" applyAlignment="1" applyProtection="1">
      <alignment horizontal="center" vertical="center"/>
    </xf>
    <xf numFmtId="44" fontId="1" fillId="22" borderId="23" xfId="2" applyFont="1" applyFill="1" applyBorder="1" applyAlignment="1" applyProtection="1">
      <alignment horizontal="center" vertical="center"/>
    </xf>
    <xf numFmtId="164" fontId="1" fillId="22" borderId="61" xfId="0" applyNumberFormat="1" applyFont="1" applyFill="1" applyBorder="1" applyAlignment="1">
      <alignment horizontal="center" vertical="center"/>
    </xf>
    <xf numFmtId="2" fontId="1" fillId="22" borderId="31" xfId="0" applyNumberFormat="1" applyFont="1" applyFill="1" applyBorder="1" applyAlignment="1">
      <alignment horizontal="center" vertical="center"/>
    </xf>
    <xf numFmtId="164" fontId="1" fillId="22" borderId="3" xfId="0" applyNumberFormat="1" applyFont="1" applyFill="1" applyBorder="1" applyAlignment="1">
      <alignment vertical="center"/>
    </xf>
    <xf numFmtId="44" fontId="1" fillId="22" borderId="27" xfId="2" applyFont="1" applyFill="1" applyBorder="1" applyAlignment="1" applyProtection="1">
      <alignment horizontal="center" vertical="center"/>
    </xf>
    <xf numFmtId="44" fontId="1" fillId="22" borderId="25" xfId="2" applyFont="1" applyFill="1" applyBorder="1" applyAlignment="1" applyProtection="1">
      <alignment horizontal="center" vertical="center"/>
    </xf>
    <xf numFmtId="0" fontId="1" fillId="22" borderId="26" xfId="0" applyFont="1" applyFill="1" applyBorder="1" applyAlignment="1">
      <alignment horizontal="center" vertical="center"/>
    </xf>
    <xf numFmtId="2" fontId="1" fillId="22" borderId="25" xfId="0" applyNumberFormat="1" applyFont="1" applyFill="1" applyBorder="1" applyAlignment="1">
      <alignment horizontal="center" vertical="center"/>
    </xf>
    <xf numFmtId="2" fontId="1" fillId="22" borderId="11" xfId="0" applyNumberFormat="1" applyFont="1" applyFill="1" applyBorder="1" applyAlignment="1">
      <alignment horizontal="center" vertical="center"/>
    </xf>
    <xf numFmtId="164" fontId="1" fillId="22" borderId="38" xfId="0" applyNumberFormat="1" applyFont="1" applyFill="1" applyBorder="1" applyAlignment="1">
      <alignment vertical="center"/>
    </xf>
    <xf numFmtId="2" fontId="1" fillId="22" borderId="12" xfId="0" applyNumberFormat="1" applyFont="1" applyFill="1" applyBorder="1" applyAlignment="1">
      <alignment horizontal="center" vertical="center"/>
    </xf>
    <xf numFmtId="164" fontId="1" fillId="22" borderId="60" xfId="0" applyNumberFormat="1" applyFont="1" applyFill="1" applyBorder="1" applyAlignment="1">
      <alignment horizontal="center" vertical="center"/>
    </xf>
    <xf numFmtId="44" fontId="1" fillId="23" borderId="29" xfId="2" applyFont="1" applyFill="1" applyBorder="1" applyAlignment="1" applyProtection="1">
      <alignment horizontal="center" vertical="center"/>
    </xf>
    <xf numFmtId="44" fontId="1" fillId="23" borderId="66" xfId="2" applyFont="1" applyFill="1" applyBorder="1" applyAlignment="1" applyProtection="1">
      <alignment horizontal="center" vertical="center"/>
    </xf>
    <xf numFmtId="2" fontId="1" fillId="23" borderId="25" xfId="0" applyNumberFormat="1" applyFont="1" applyFill="1" applyBorder="1" applyAlignment="1">
      <alignment horizontal="center" vertical="center"/>
    </xf>
    <xf numFmtId="164" fontId="1" fillId="23" borderId="10" xfId="0" applyNumberFormat="1" applyFont="1" applyFill="1" applyBorder="1" applyAlignment="1">
      <alignment vertical="center"/>
    </xf>
    <xf numFmtId="44" fontId="1" fillId="23" borderId="31" xfId="2" applyFont="1" applyFill="1" applyBorder="1" applyAlignment="1" applyProtection="1">
      <alignment horizontal="center" vertical="center"/>
    </xf>
    <xf numFmtId="44" fontId="1" fillId="23" borderId="25" xfId="2" applyFont="1" applyFill="1" applyBorder="1" applyAlignment="1" applyProtection="1">
      <alignment horizontal="center" vertical="center"/>
    </xf>
    <xf numFmtId="2" fontId="1" fillId="23" borderId="12" xfId="0" applyNumberFormat="1" applyFont="1" applyFill="1" applyBorder="1" applyAlignment="1">
      <alignment horizontal="center" vertical="center"/>
    </xf>
    <xf numFmtId="164" fontId="1" fillId="23" borderId="37" xfId="0" applyNumberFormat="1" applyFont="1" applyFill="1" applyBorder="1" applyAlignment="1">
      <alignment vertical="center"/>
    </xf>
    <xf numFmtId="44" fontId="1" fillId="23" borderId="11" xfId="2" applyFont="1" applyFill="1" applyBorder="1" applyAlignment="1" applyProtection="1">
      <alignment horizontal="center" vertical="center"/>
    </xf>
    <xf numFmtId="44" fontId="1" fillId="23" borderId="12" xfId="2" applyFont="1" applyFill="1" applyBorder="1" applyAlignment="1" applyProtection="1">
      <alignment horizontal="center" vertical="center"/>
    </xf>
    <xf numFmtId="14" fontId="1" fillId="23" borderId="67" xfId="0" applyNumberFormat="1" applyFont="1" applyFill="1" applyBorder="1" applyAlignment="1">
      <alignment horizontal="center" vertical="center"/>
    </xf>
    <xf numFmtId="0" fontId="1" fillId="23" borderId="41" xfId="0" applyFont="1" applyFill="1" applyBorder="1" applyAlignment="1">
      <alignment horizontal="center" vertical="center"/>
    </xf>
    <xf numFmtId="0" fontId="1" fillId="23" borderId="70" xfId="0" applyFont="1" applyFill="1" applyBorder="1" applyAlignment="1">
      <alignment horizontal="center" vertical="center"/>
    </xf>
    <xf numFmtId="2" fontId="1" fillId="23" borderId="67" xfId="0" applyNumberFormat="1" applyFont="1" applyFill="1" applyBorder="1" applyAlignment="1">
      <alignment horizontal="center" vertical="center"/>
    </xf>
    <xf numFmtId="2" fontId="2" fillId="23" borderId="41" xfId="0" applyNumberFormat="1" applyFont="1" applyFill="1" applyBorder="1" applyAlignment="1">
      <alignment horizontal="center" vertical="center"/>
    </xf>
    <xf numFmtId="164" fontId="2" fillId="23" borderId="70" xfId="0" applyNumberFormat="1" applyFont="1" applyFill="1" applyBorder="1" applyAlignment="1">
      <alignment vertical="center"/>
    </xf>
    <xf numFmtId="44" fontId="2" fillId="23" borderId="67" xfId="2" applyFont="1" applyFill="1" applyBorder="1" applyAlignment="1" applyProtection="1">
      <alignment horizontal="center" vertical="center"/>
    </xf>
    <xf numFmtId="44" fontId="2" fillId="23" borderId="41" xfId="2" applyFont="1" applyFill="1" applyBorder="1" applyAlignment="1" applyProtection="1">
      <alignment horizontal="center" vertical="center"/>
    </xf>
    <xf numFmtId="164" fontId="1" fillId="23" borderId="49" xfId="0" applyNumberFormat="1" applyFont="1" applyFill="1" applyBorder="1" applyAlignment="1">
      <alignment horizontal="center" vertical="center"/>
    </xf>
    <xf numFmtId="164" fontId="1" fillId="23" borderId="26" xfId="0" applyNumberFormat="1" applyFont="1" applyFill="1" applyBorder="1" applyAlignment="1">
      <alignment vertical="center"/>
    </xf>
    <xf numFmtId="44" fontId="0" fillId="0" borderId="0" xfId="0" applyNumberFormat="1" applyAlignment="1">
      <alignment vertical="center"/>
    </xf>
    <xf numFmtId="0" fontId="2" fillId="23" borderId="41" xfId="0" applyFont="1" applyFill="1" applyBorder="1" applyAlignment="1">
      <alignment horizontal="center" vertical="center"/>
    </xf>
    <xf numFmtId="2" fontId="16" fillId="23" borderId="41" xfId="0" applyNumberFormat="1" applyFont="1" applyFill="1" applyBorder="1" applyAlignment="1">
      <alignment horizontal="center" vertical="center"/>
    </xf>
    <xf numFmtId="164" fontId="16" fillId="23" borderId="70" xfId="0" applyNumberFormat="1" applyFont="1" applyFill="1" applyBorder="1" applyAlignment="1">
      <alignment vertical="center"/>
    </xf>
    <xf numFmtId="44" fontId="16" fillId="23" borderId="67" xfId="2" applyFont="1" applyFill="1" applyBorder="1" applyAlignment="1" applyProtection="1">
      <alignment horizontal="center" vertical="center"/>
    </xf>
    <xf numFmtId="44" fontId="16" fillId="23" borderId="41" xfId="2" applyFont="1" applyFill="1" applyBorder="1" applyAlignment="1" applyProtection="1">
      <alignment horizontal="center" vertical="center"/>
    </xf>
    <xf numFmtId="2" fontId="1" fillId="18" borderId="23" xfId="0" applyNumberFormat="1" applyFont="1" applyFill="1" applyBorder="1" applyAlignment="1">
      <alignment horizontal="center" vertical="center"/>
    </xf>
    <xf numFmtId="164" fontId="1" fillId="18" borderId="2" xfId="0" applyNumberFormat="1" applyFont="1" applyFill="1" applyBorder="1" applyAlignment="1">
      <alignment vertical="center"/>
    </xf>
    <xf numFmtId="44" fontId="1" fillId="18" borderId="25" xfId="2" applyFont="1" applyFill="1" applyBorder="1" applyAlignment="1" applyProtection="1">
      <alignment horizontal="center" vertical="center"/>
    </xf>
    <xf numFmtId="164" fontId="1" fillId="18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6" fillId="18" borderId="41" xfId="0" applyFont="1" applyFill="1" applyBorder="1" applyAlignment="1">
      <alignment horizontal="center"/>
    </xf>
    <xf numFmtId="0" fontId="16" fillId="18" borderId="70" xfId="0" applyFont="1" applyFill="1" applyBorder="1" applyAlignment="1">
      <alignment horizontal="center"/>
    </xf>
    <xf numFmtId="2" fontId="16" fillId="18" borderId="41" xfId="0" applyNumberFormat="1" applyFont="1" applyFill="1" applyBorder="1" applyAlignment="1">
      <alignment horizontal="center"/>
    </xf>
    <xf numFmtId="164" fontId="16" fillId="18" borderId="41" xfId="0" applyNumberFormat="1" applyFont="1" applyFill="1" applyBorder="1" applyAlignment="1">
      <alignment horizontal="center"/>
    </xf>
    <xf numFmtId="44" fontId="16" fillId="18" borderId="41" xfId="2" applyFont="1" applyFill="1" applyBorder="1" applyAlignment="1" applyProtection="1">
      <alignment horizontal="center" vertical="center"/>
    </xf>
    <xf numFmtId="0" fontId="16" fillId="18" borderId="49" xfId="0" applyFont="1" applyFill="1" applyBorder="1"/>
    <xf numFmtId="0" fontId="7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2" fontId="1" fillId="10" borderId="23" xfId="0" applyNumberFormat="1" applyFont="1" applyFill="1" applyBorder="1" applyAlignment="1">
      <alignment horizontal="center" vertical="center"/>
    </xf>
    <xf numFmtId="164" fontId="1" fillId="10" borderId="2" xfId="0" applyNumberFormat="1" applyFont="1" applyFill="1" applyBorder="1" applyAlignment="1">
      <alignment vertical="center"/>
    </xf>
    <xf numFmtId="44" fontId="1" fillId="10" borderId="25" xfId="2" applyFont="1" applyFill="1" applyBorder="1" applyProtection="1"/>
    <xf numFmtId="164" fontId="0" fillId="0" borderId="0" xfId="0" applyNumberFormat="1"/>
    <xf numFmtId="0" fontId="0" fillId="10" borderId="67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44" fontId="0" fillId="10" borderId="41" xfId="2" applyFont="1" applyFill="1" applyBorder="1" applyProtection="1"/>
    <xf numFmtId="44" fontId="17" fillId="10" borderId="41" xfId="2" applyFont="1" applyFill="1" applyBorder="1" applyAlignment="1" applyProtection="1">
      <alignment horizontal="center"/>
    </xf>
    <xf numFmtId="0" fontId="0" fillId="10" borderId="68" xfId="0" applyFill="1" applyBorder="1"/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58" xfId="0" applyBorder="1" applyAlignment="1">
      <alignment horizontal="center"/>
    </xf>
    <xf numFmtId="0" fontId="5" fillId="21" borderId="29" xfId="0" applyFont="1" applyFill="1" applyBorder="1" applyAlignment="1">
      <alignment horizontal="right"/>
    </xf>
    <xf numFmtId="2" fontId="0" fillId="21" borderId="66" xfId="0" applyNumberFormat="1" applyFill="1" applyBorder="1" applyAlignment="1">
      <alignment horizontal="center"/>
    </xf>
    <xf numFmtId="44" fontId="5" fillId="21" borderId="66" xfId="2" applyFont="1" applyFill="1" applyBorder="1" applyAlignment="1" applyProtection="1">
      <alignment horizontal="center"/>
    </xf>
    <xf numFmtId="44" fontId="0" fillId="21" borderId="66" xfId="2" applyFont="1" applyFill="1" applyBorder="1" applyAlignment="1" applyProtection="1">
      <alignment horizontal="center"/>
    </xf>
    <xf numFmtId="44" fontId="0" fillId="21" borderId="30" xfId="2" applyFont="1" applyFill="1" applyBorder="1" applyProtection="1"/>
    <xf numFmtId="0" fontId="5" fillId="23" borderId="31" xfId="0" applyFont="1" applyFill="1" applyBorder="1" applyAlignment="1">
      <alignment horizontal="right" vertical="center"/>
    </xf>
    <xf numFmtId="0" fontId="5" fillId="23" borderId="25" xfId="0" applyFont="1" applyFill="1" applyBorder="1" applyAlignment="1">
      <alignment horizontal="center" vertical="center"/>
    </xf>
    <xf numFmtId="44" fontId="5" fillId="23" borderId="25" xfId="2" applyFont="1" applyFill="1" applyBorder="1" applyAlignment="1" applyProtection="1">
      <alignment horizontal="center" vertical="center"/>
    </xf>
    <xf numFmtId="44" fontId="5" fillId="25" borderId="25" xfId="2" applyFont="1" applyFill="1" applyBorder="1" applyAlignment="1" applyProtection="1">
      <alignment horizontal="center"/>
    </xf>
    <xf numFmtId="44" fontId="5" fillId="23" borderId="26" xfId="2" applyFont="1" applyFill="1" applyBorder="1" applyAlignment="1" applyProtection="1">
      <alignment horizontal="center" vertical="center"/>
    </xf>
    <xf numFmtId="2" fontId="5" fillId="23" borderId="25" xfId="0" applyNumberFormat="1" applyFont="1" applyFill="1" applyBorder="1" applyAlignment="1">
      <alignment horizontal="center" vertical="center"/>
    </xf>
    <xf numFmtId="0" fontId="5" fillId="22" borderId="31" xfId="0" applyFont="1" applyFill="1" applyBorder="1" applyAlignment="1">
      <alignment horizontal="right" vertical="center"/>
    </xf>
    <xf numFmtId="2" fontId="5" fillId="22" borderId="25" xfId="0" applyNumberFormat="1" applyFont="1" applyFill="1" applyBorder="1" applyAlignment="1">
      <alignment horizontal="center" vertical="center"/>
    </xf>
    <xf numFmtId="44" fontId="5" fillId="22" borderId="25" xfId="2" applyFont="1" applyFill="1" applyBorder="1" applyAlignment="1" applyProtection="1">
      <alignment horizontal="center" vertical="center"/>
    </xf>
    <xf numFmtId="44" fontId="5" fillId="22" borderId="26" xfId="2" applyFont="1" applyFill="1" applyBorder="1" applyAlignment="1" applyProtection="1">
      <alignment horizontal="center" vertical="center"/>
    </xf>
    <xf numFmtId="44" fontId="5" fillId="23" borderId="25" xfId="2" applyFont="1" applyFill="1" applyBorder="1" applyAlignment="1" applyProtection="1">
      <alignment horizontal="right" vertical="center"/>
    </xf>
    <xf numFmtId="44" fontId="5" fillId="23" borderId="26" xfId="2" applyFont="1" applyFill="1" applyBorder="1" applyAlignment="1" applyProtection="1">
      <alignment horizontal="right" vertical="center"/>
    </xf>
    <xf numFmtId="0" fontId="5" fillId="18" borderId="31" xfId="0" applyFont="1" applyFill="1" applyBorder="1" applyAlignment="1">
      <alignment horizontal="right"/>
    </xf>
    <xf numFmtId="2" fontId="5" fillId="18" borderId="25" xfId="0" applyNumberFormat="1" applyFont="1" applyFill="1" applyBorder="1" applyAlignment="1">
      <alignment horizontal="center"/>
    </xf>
    <xf numFmtId="44" fontId="5" fillId="18" borderId="25" xfId="2" applyFont="1" applyFill="1" applyBorder="1" applyAlignment="1" applyProtection="1">
      <alignment horizontal="center"/>
    </xf>
    <xf numFmtId="44" fontId="5" fillId="18" borderId="26" xfId="2" applyFont="1" applyFill="1" applyBorder="1" applyAlignment="1" applyProtection="1">
      <alignment horizontal="center"/>
    </xf>
    <xf numFmtId="0" fontId="0" fillId="10" borderId="57" xfId="0" applyFill="1" applyBorder="1" applyAlignment="1">
      <alignment horizontal="right"/>
    </xf>
    <xf numFmtId="0" fontId="0" fillId="25" borderId="32" xfId="0" applyFill="1" applyBorder="1" applyAlignment="1">
      <alignment horizontal="center"/>
    </xf>
    <xf numFmtId="44" fontId="0" fillId="25" borderId="32" xfId="2" applyFont="1" applyFill="1" applyBorder="1" applyAlignment="1" applyProtection="1">
      <alignment horizontal="center"/>
    </xf>
    <xf numFmtId="44" fontId="0" fillId="10" borderId="32" xfId="2" applyFont="1" applyFill="1" applyBorder="1" applyAlignment="1" applyProtection="1">
      <alignment horizontal="center"/>
    </xf>
    <xf numFmtId="44" fontId="0" fillId="10" borderId="33" xfId="2" applyFont="1" applyFill="1" applyBorder="1" applyAlignment="1" applyProtection="1">
      <alignment horizontal="center"/>
    </xf>
    <xf numFmtId="0" fontId="5" fillId="0" borderId="0" xfId="0" applyFont="1" applyAlignment="1">
      <alignment horizontal="right"/>
    </xf>
    <xf numFmtId="0" fontId="0" fillId="0" borderId="57" xfId="0" applyBorder="1" applyAlignment="1">
      <alignment horizontal="center"/>
    </xf>
    <xf numFmtId="0" fontId="5" fillId="0" borderId="32" xfId="0" applyFont="1" applyBorder="1" applyAlignment="1">
      <alignment horizontal="right"/>
    </xf>
    <xf numFmtId="44" fontId="0" fillId="0" borderId="32" xfId="2" applyFont="1" applyFill="1" applyBorder="1" applyAlignment="1" applyProtection="1">
      <alignment horizontal="center"/>
    </xf>
    <xf numFmtId="44" fontId="0" fillId="0" borderId="33" xfId="2" applyFont="1" applyFill="1" applyBorder="1" applyAlignment="1" applyProtection="1">
      <alignment horizontal="center"/>
    </xf>
    <xf numFmtId="0" fontId="0" fillId="0" borderId="46" xfId="0" applyBorder="1" applyAlignment="1">
      <alignment horizontal="center"/>
    </xf>
    <xf numFmtId="0" fontId="3" fillId="0" borderId="44" xfId="0" applyFont="1" applyBorder="1" applyAlignment="1">
      <alignment horizontal="right"/>
    </xf>
    <xf numFmtId="164" fontId="3" fillId="0" borderId="47" xfId="0" applyNumberFormat="1" applyFont="1" applyBorder="1" applyAlignment="1">
      <alignment horizontal="center"/>
    </xf>
    <xf numFmtId="164" fontId="1" fillId="19" borderId="40" xfId="0" applyNumberFormat="1" applyFont="1" applyFill="1" applyBorder="1" applyAlignment="1" applyProtection="1">
      <alignment horizontal="center" vertical="center"/>
      <protection locked="0"/>
    </xf>
    <xf numFmtId="164" fontId="1" fillId="19" borderId="62" xfId="0" applyNumberFormat="1" applyFont="1" applyFill="1" applyBorder="1" applyAlignment="1" applyProtection="1">
      <alignment horizontal="center" vertical="center"/>
      <protection locked="0"/>
    </xf>
    <xf numFmtId="2" fontId="1" fillId="19" borderId="27" xfId="0" applyNumberFormat="1" applyFont="1" applyFill="1" applyBorder="1" applyAlignment="1">
      <alignment horizontal="center" vertical="center"/>
    </xf>
    <xf numFmtId="2" fontId="1" fillId="19" borderId="14" xfId="0" applyNumberFormat="1" applyFont="1" applyFill="1" applyBorder="1" applyAlignment="1">
      <alignment horizontal="center" vertical="center"/>
    </xf>
    <xf numFmtId="164" fontId="1" fillId="19" borderId="38" xfId="0" applyNumberFormat="1" applyFont="1" applyFill="1" applyBorder="1" applyAlignment="1">
      <alignment vertical="center"/>
    </xf>
    <xf numFmtId="0" fontId="1" fillId="21" borderId="22" xfId="0" applyFont="1" applyFill="1" applyBorder="1" applyAlignment="1">
      <alignment horizontal="center" vertical="center"/>
    </xf>
    <xf numFmtId="0" fontId="1" fillId="21" borderId="14" xfId="0" applyFont="1" applyFill="1" applyBorder="1" applyAlignment="1">
      <alignment horizontal="center" vertical="center"/>
    </xf>
    <xf numFmtId="0" fontId="16" fillId="21" borderId="43" xfId="0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left" vertical="center"/>
    </xf>
    <xf numFmtId="0" fontId="1" fillId="21" borderId="27" xfId="0" applyFont="1" applyFill="1" applyBorder="1" applyAlignment="1">
      <alignment horizontal="center" vertical="center"/>
    </xf>
    <xf numFmtId="0" fontId="2" fillId="21" borderId="22" xfId="0" applyFont="1" applyFill="1" applyBorder="1" applyAlignment="1">
      <alignment horizontal="left" vertical="center"/>
    </xf>
    <xf numFmtId="164" fontId="1" fillId="21" borderId="10" xfId="0" applyNumberFormat="1" applyFont="1" applyFill="1" applyBorder="1" applyAlignment="1">
      <alignment vertical="center"/>
    </xf>
    <xf numFmtId="44" fontId="1" fillId="21" borderId="27" xfId="2" applyFont="1" applyFill="1" applyBorder="1" applyAlignment="1" applyProtection="1">
      <alignment horizontal="center" vertical="center"/>
    </xf>
    <xf numFmtId="164" fontId="1" fillId="21" borderId="37" xfId="0" applyNumberFormat="1" applyFont="1" applyFill="1" applyBorder="1" applyAlignment="1">
      <alignment vertical="center"/>
    </xf>
    <xf numFmtId="44" fontId="1" fillId="21" borderId="14" xfId="2" applyFont="1" applyFill="1" applyBorder="1" applyAlignment="1" applyProtection="1">
      <alignment horizontal="center" vertical="center"/>
    </xf>
    <xf numFmtId="0" fontId="3" fillId="22" borderId="65" xfId="0" applyFont="1" applyFill="1" applyBorder="1" applyAlignment="1">
      <alignment horizontal="center" vertical="center"/>
    </xf>
    <xf numFmtId="0" fontId="16" fillId="22" borderId="22" xfId="0" applyFont="1" applyFill="1" applyBorder="1" applyAlignment="1">
      <alignment horizontal="left" vertical="center"/>
    </xf>
    <xf numFmtId="0" fontId="1" fillId="22" borderId="27" xfId="0" applyFont="1" applyFill="1" applyBorder="1" applyAlignment="1">
      <alignment horizontal="center" vertical="center"/>
    </xf>
    <xf numFmtId="0" fontId="16" fillId="22" borderId="27" xfId="0" applyFont="1" applyFill="1" applyBorder="1" applyAlignment="1">
      <alignment horizontal="left" vertical="center"/>
    </xf>
    <xf numFmtId="0" fontId="1" fillId="22" borderId="14" xfId="0" applyFont="1" applyFill="1" applyBorder="1" applyAlignment="1">
      <alignment horizontal="center" vertical="center"/>
    </xf>
    <xf numFmtId="44" fontId="1" fillId="22" borderId="12" xfId="2" applyFont="1" applyFill="1" applyBorder="1" applyAlignment="1" applyProtection="1">
      <alignment horizontal="center" vertical="center"/>
    </xf>
    <xf numFmtId="0" fontId="16" fillId="22" borderId="41" xfId="0" applyFont="1" applyFill="1" applyBorder="1" applyAlignment="1">
      <alignment horizontal="center" vertical="center"/>
    </xf>
    <xf numFmtId="0" fontId="3" fillId="22" borderId="68" xfId="0" applyFont="1" applyFill="1" applyBorder="1" applyAlignment="1">
      <alignment horizontal="center" vertical="center"/>
    </xf>
    <xf numFmtId="2" fontId="3" fillId="22" borderId="67" xfId="0" applyNumberFormat="1" applyFont="1" applyFill="1" applyBorder="1" applyAlignment="1">
      <alignment horizontal="center" vertical="center"/>
    </xf>
    <xf numFmtId="2" fontId="16" fillId="22" borderId="41" xfId="0" applyNumberFormat="1" applyFont="1" applyFill="1" applyBorder="1" applyAlignment="1">
      <alignment horizontal="center" vertical="center"/>
    </xf>
    <xf numFmtId="164" fontId="16" fillId="22" borderId="49" xfId="0" applyNumberFormat="1" applyFont="1" applyFill="1" applyBorder="1" applyAlignment="1">
      <alignment vertical="center"/>
    </xf>
    <xf numFmtId="44" fontId="3" fillId="22" borderId="43" xfId="2" applyFont="1" applyFill="1" applyBorder="1" applyAlignment="1" applyProtection="1">
      <alignment horizontal="center" vertical="center"/>
    </xf>
    <xf numFmtId="44" fontId="3" fillId="22" borderId="41" xfId="2" applyFont="1" applyFill="1" applyBorder="1" applyAlignment="1" applyProtection="1">
      <alignment horizontal="center" vertical="center"/>
    </xf>
    <xf numFmtId="164" fontId="1" fillId="22" borderId="58" xfId="0" applyNumberFormat="1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39" xfId="0" applyFont="1" applyFill="1" applyBorder="1" applyAlignment="1">
      <alignment horizontal="center"/>
    </xf>
    <xf numFmtId="2" fontId="1" fillId="18" borderId="16" xfId="0" applyNumberFormat="1" applyFont="1" applyFill="1" applyBorder="1" applyAlignment="1">
      <alignment horizontal="center" vertical="center"/>
    </xf>
    <xf numFmtId="164" fontId="1" fillId="18" borderId="39" xfId="0" applyNumberFormat="1" applyFont="1" applyFill="1" applyBorder="1" applyAlignment="1">
      <alignment vertical="center"/>
    </xf>
    <xf numFmtId="44" fontId="1" fillId="18" borderId="12" xfId="2" applyFont="1" applyFill="1" applyBorder="1" applyAlignment="1" applyProtection="1">
      <alignment horizontal="center" vertical="center"/>
    </xf>
    <xf numFmtId="0" fontId="1" fillId="18" borderId="38" xfId="0" applyFont="1" applyFill="1" applyBorder="1" applyAlignment="1">
      <alignment horizontal="center"/>
    </xf>
    <xf numFmtId="0" fontId="1" fillId="31" borderId="25" xfId="0" applyFont="1" applyFill="1" applyBorder="1" applyAlignment="1" applyProtection="1">
      <alignment horizontal="center" vertical="center"/>
      <protection locked="0"/>
    </xf>
    <xf numFmtId="0" fontId="1" fillId="31" borderId="12" xfId="0" applyFont="1" applyFill="1" applyBorder="1" applyAlignment="1" applyProtection="1">
      <alignment horizontal="center" vertical="center"/>
      <protection locked="0"/>
    </xf>
    <xf numFmtId="14" fontId="1" fillId="21" borderId="71" xfId="0" applyNumberFormat="1" applyFont="1" applyFill="1" applyBorder="1" applyAlignment="1">
      <alignment horizontal="center" vertical="center"/>
    </xf>
    <xf numFmtId="14" fontId="2" fillId="22" borderId="67" xfId="0" applyNumberFormat="1" applyFont="1" applyFill="1" applyBorder="1" applyAlignment="1">
      <alignment horizontal="center" vertical="center"/>
    </xf>
    <xf numFmtId="14" fontId="16" fillId="18" borderId="67" xfId="0" applyNumberFormat="1" applyFont="1" applyFill="1" applyBorder="1" applyAlignment="1">
      <alignment horizontal="center"/>
    </xf>
    <xf numFmtId="0" fontId="5" fillId="0" borderId="71" xfId="0" applyFont="1" applyBorder="1" applyAlignment="1">
      <alignment horizontal="center"/>
    </xf>
    <xf numFmtId="2" fontId="1" fillId="18" borderId="22" xfId="0" applyNumberFormat="1" applyFont="1" applyFill="1" applyBorder="1" applyAlignment="1">
      <alignment horizontal="center" vertical="center"/>
    </xf>
    <xf numFmtId="14" fontId="1" fillId="18" borderId="23" xfId="0" applyNumberFormat="1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164" fontId="1" fillId="18" borderId="1" xfId="0" applyNumberFormat="1" applyFont="1" applyFill="1" applyBorder="1" applyAlignment="1">
      <alignment vertical="center"/>
    </xf>
    <xf numFmtId="44" fontId="1" fillId="18" borderId="23" xfId="2" applyFont="1" applyFill="1" applyBorder="1" applyAlignment="1" applyProtection="1">
      <alignment horizontal="center" vertical="center"/>
    </xf>
    <xf numFmtId="0" fontId="1" fillId="27" borderId="26" xfId="0" applyFont="1" applyFill="1" applyBorder="1" applyAlignment="1" applyProtection="1">
      <alignment horizontal="center" vertical="center"/>
      <protection locked="0"/>
    </xf>
    <xf numFmtId="0" fontId="1" fillId="31" borderId="2" xfId="0" applyFont="1" applyFill="1" applyBorder="1" applyAlignment="1" applyProtection="1">
      <alignment horizontal="center" vertical="center"/>
      <protection locked="0"/>
    </xf>
    <xf numFmtId="0" fontId="1" fillId="31" borderId="39" xfId="0" applyFont="1" applyFill="1" applyBorder="1" applyAlignment="1" applyProtection="1">
      <alignment horizontal="center" vertical="center"/>
      <protection locked="0"/>
    </xf>
    <xf numFmtId="0" fontId="1" fillId="31" borderId="31" xfId="0" applyFont="1" applyFill="1" applyBorder="1" applyAlignment="1" applyProtection="1">
      <alignment horizontal="center" vertical="center"/>
      <protection locked="0"/>
    </xf>
    <xf numFmtId="0" fontId="1" fillId="31" borderId="54" xfId="0" applyFont="1" applyFill="1" applyBorder="1" applyAlignment="1" applyProtection="1">
      <alignment horizontal="center" vertical="center"/>
      <protection locked="0"/>
    </xf>
    <xf numFmtId="0" fontId="1" fillId="31" borderId="57" xfId="0" applyFont="1" applyFill="1" applyBorder="1" applyAlignment="1" applyProtection="1">
      <alignment horizontal="center" vertical="center"/>
      <protection locked="0"/>
    </xf>
    <xf numFmtId="0" fontId="1" fillId="24" borderId="26" xfId="0" applyFont="1" applyFill="1" applyBorder="1" applyAlignment="1" applyProtection="1">
      <alignment horizontal="center" vertical="center"/>
      <protection locked="0"/>
    </xf>
    <xf numFmtId="0" fontId="3" fillId="19" borderId="66" xfId="0" applyFont="1" applyFill="1" applyBorder="1" applyAlignment="1">
      <alignment horizontal="center"/>
    </xf>
    <xf numFmtId="0" fontId="1" fillId="19" borderId="27" xfId="0" applyFont="1" applyFill="1" applyBorder="1" applyAlignment="1">
      <alignment horizontal="center" vertical="center"/>
    </xf>
    <xf numFmtId="2" fontId="1" fillId="19" borderId="31" xfId="0" applyNumberFormat="1" applyFont="1" applyFill="1" applyBorder="1" applyAlignment="1">
      <alignment horizontal="center" vertical="center"/>
    </xf>
    <xf numFmtId="2" fontId="1" fillId="19" borderId="25" xfId="0" applyNumberFormat="1" applyFont="1" applyFill="1" applyBorder="1" applyAlignment="1">
      <alignment horizontal="center" vertical="center"/>
    </xf>
    <xf numFmtId="164" fontId="1" fillId="19" borderId="40" xfId="0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right"/>
    </xf>
    <xf numFmtId="0" fontId="2" fillId="0" borderId="38" xfId="0" applyFont="1" applyBorder="1"/>
    <xf numFmtId="0" fontId="2" fillId="0" borderId="62" xfId="0" applyFont="1" applyBorder="1" applyAlignment="1">
      <alignment horizontal="center"/>
    </xf>
    <xf numFmtId="0" fontId="2" fillId="0" borderId="36" xfId="0" applyFont="1" applyBorder="1"/>
    <xf numFmtId="0" fontId="2" fillId="0" borderId="6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0" borderId="47" xfId="0" applyFont="1" applyBorder="1"/>
    <xf numFmtId="0" fontId="1" fillId="19" borderId="29" xfId="0" applyFont="1" applyFill="1" applyBorder="1" applyAlignment="1">
      <alignment horizontal="center"/>
    </xf>
    <xf numFmtId="0" fontId="2" fillId="19" borderId="30" xfId="0" applyFont="1" applyFill="1" applyBorder="1" applyAlignment="1">
      <alignment horizontal="center"/>
    </xf>
    <xf numFmtId="0" fontId="2" fillId="19" borderId="29" xfId="0" applyFont="1" applyFill="1" applyBorder="1" applyAlignment="1">
      <alignment horizontal="center"/>
    </xf>
    <xf numFmtId="0" fontId="2" fillId="19" borderId="66" xfId="0" applyFont="1" applyFill="1" applyBorder="1" applyAlignment="1">
      <alignment horizontal="center"/>
    </xf>
    <xf numFmtId="0" fontId="2" fillId="19" borderId="64" xfId="0" applyFont="1" applyFill="1" applyBorder="1"/>
    <xf numFmtId="0" fontId="2" fillId="19" borderId="69" xfId="0" applyFont="1" applyFill="1" applyBorder="1" applyAlignment="1">
      <alignment horizontal="center"/>
    </xf>
    <xf numFmtId="164" fontId="3" fillId="24" borderId="25" xfId="0" applyNumberFormat="1" applyFont="1" applyFill="1" applyBorder="1" applyAlignment="1" applyProtection="1">
      <alignment horizontal="center"/>
      <protection locked="0"/>
    </xf>
    <xf numFmtId="0" fontId="1" fillId="24" borderId="11" xfId="0" applyFont="1" applyFill="1" applyBorder="1" applyAlignment="1" applyProtection="1">
      <alignment horizontal="center" vertical="center"/>
      <protection locked="0"/>
    </xf>
    <xf numFmtId="14" fontId="1" fillId="21" borderId="23" xfId="0" applyNumberFormat="1" applyFont="1" applyFill="1" applyBorder="1" applyAlignment="1">
      <alignment horizontal="center" vertical="center"/>
    </xf>
    <xf numFmtId="14" fontId="1" fillId="21" borderId="41" xfId="0" applyNumberFormat="1" applyFont="1" applyFill="1" applyBorder="1" applyAlignment="1">
      <alignment horizontal="center" vertical="center"/>
    </xf>
    <xf numFmtId="14" fontId="1" fillId="26" borderId="25" xfId="0" applyNumberFormat="1" applyFont="1" applyFill="1" applyBorder="1" applyAlignment="1" applyProtection="1">
      <alignment horizontal="center" vertical="center"/>
      <protection locked="0"/>
    </xf>
    <xf numFmtId="14" fontId="1" fillId="26" borderId="32" xfId="0" applyNumberFormat="1" applyFont="1" applyFill="1" applyBorder="1" applyAlignment="1" applyProtection="1">
      <alignment horizontal="center" vertical="center"/>
      <protection locked="0"/>
    </xf>
    <xf numFmtId="0" fontId="1" fillId="26" borderId="13" xfId="0" applyFont="1" applyFill="1" applyBorder="1" applyAlignment="1" applyProtection="1">
      <alignment horizontal="center" vertical="center"/>
      <protection locked="0"/>
    </xf>
    <xf numFmtId="44" fontId="1" fillId="26" borderId="13" xfId="2" applyFont="1" applyFill="1" applyBorder="1" applyAlignment="1" applyProtection="1">
      <alignment horizontal="center" vertical="center"/>
      <protection locked="0"/>
    </xf>
    <xf numFmtId="0" fontId="1" fillId="26" borderId="38" xfId="0" applyFont="1" applyFill="1" applyBorder="1" applyAlignment="1" applyProtection="1">
      <alignment horizontal="center" vertical="center"/>
      <protection locked="0"/>
    </xf>
    <xf numFmtId="44" fontId="1" fillId="21" borderId="74" xfId="2" applyFont="1" applyFill="1" applyBorder="1" applyAlignment="1" applyProtection="1">
      <alignment horizontal="center" vertical="center"/>
    </xf>
    <xf numFmtId="14" fontId="1" fillId="26" borderId="23" xfId="0" applyNumberFormat="1" applyFont="1" applyFill="1" applyBorder="1" applyAlignment="1" applyProtection="1">
      <alignment horizontal="center" vertical="center"/>
      <protection locked="0"/>
    </xf>
    <xf numFmtId="0" fontId="1" fillId="26" borderId="24" xfId="0" applyFont="1" applyFill="1" applyBorder="1" applyAlignment="1" applyProtection="1">
      <alignment horizontal="center" vertical="center"/>
      <protection locked="0"/>
    </xf>
    <xf numFmtId="0" fontId="1" fillId="26" borderId="17" xfId="0" applyFont="1" applyFill="1" applyBorder="1" applyAlignment="1" applyProtection="1">
      <alignment horizontal="center" vertical="center"/>
      <protection locked="0"/>
    </xf>
    <xf numFmtId="0" fontId="1" fillId="26" borderId="26" xfId="0" applyFont="1" applyFill="1" applyBorder="1" applyAlignment="1" applyProtection="1">
      <alignment horizontal="center" vertical="center"/>
      <protection locked="0"/>
    </xf>
    <xf numFmtId="44" fontId="1" fillId="26" borderId="24" xfId="2" applyFont="1" applyFill="1" applyBorder="1" applyAlignment="1" applyProtection="1">
      <alignment horizontal="center" vertical="center"/>
      <protection locked="0"/>
    </xf>
    <xf numFmtId="44" fontId="2" fillId="26" borderId="24" xfId="2" applyFont="1" applyFill="1" applyBorder="1" applyAlignment="1" applyProtection="1">
      <alignment horizontal="center" vertical="center"/>
      <protection locked="0"/>
    </xf>
    <xf numFmtId="44" fontId="2" fillId="26" borderId="26" xfId="2" applyFont="1" applyFill="1" applyBorder="1" applyAlignment="1" applyProtection="1">
      <alignment horizontal="center" vertical="center"/>
      <protection locked="0"/>
    </xf>
    <xf numFmtId="14" fontId="1" fillId="26" borderId="12" xfId="0" applyNumberFormat="1" applyFont="1" applyFill="1" applyBorder="1" applyAlignment="1" applyProtection="1">
      <alignment horizontal="center" vertical="center"/>
      <protection locked="0"/>
    </xf>
    <xf numFmtId="0" fontId="1" fillId="26" borderId="25" xfId="0" applyFont="1" applyFill="1" applyBorder="1" applyAlignment="1" applyProtection="1">
      <alignment horizontal="center" vertical="center"/>
      <protection locked="0"/>
    </xf>
    <xf numFmtId="0" fontId="1" fillId="26" borderId="12" xfId="0" applyFont="1" applyFill="1" applyBorder="1" applyAlignment="1" applyProtection="1">
      <alignment horizontal="center" vertical="center"/>
      <protection locked="0"/>
    </xf>
    <xf numFmtId="0" fontId="1" fillId="26" borderId="9" xfId="0" applyFont="1" applyFill="1" applyBorder="1" applyAlignment="1" applyProtection="1">
      <alignment horizontal="center" vertical="center"/>
      <protection locked="0"/>
    </xf>
    <xf numFmtId="0" fontId="1" fillId="26" borderId="36" xfId="0" applyFont="1" applyFill="1" applyBorder="1" applyAlignment="1" applyProtection="1">
      <alignment horizontal="center" vertical="center"/>
      <protection locked="0"/>
    </xf>
    <xf numFmtId="44" fontId="1" fillId="26" borderId="25" xfId="2" applyFont="1" applyFill="1" applyBorder="1" applyAlignment="1" applyProtection="1">
      <alignment horizontal="center" vertical="center"/>
      <protection locked="0"/>
    </xf>
    <xf numFmtId="14" fontId="1" fillId="27" borderId="25" xfId="0" applyNumberFormat="1" applyFont="1" applyFill="1" applyBorder="1" applyAlignment="1" applyProtection="1">
      <alignment horizontal="center" vertical="center"/>
      <protection locked="0"/>
    </xf>
    <xf numFmtId="44" fontId="1" fillId="32" borderId="27" xfId="2" applyFont="1" applyFill="1" applyBorder="1" applyAlignment="1" applyProtection="1">
      <alignment horizontal="center" vertical="center"/>
      <protection locked="0"/>
    </xf>
    <xf numFmtId="14" fontId="1" fillId="27" borderId="12" xfId="0" applyNumberFormat="1" applyFont="1" applyFill="1" applyBorder="1" applyAlignment="1" applyProtection="1">
      <alignment horizontal="center" vertical="center"/>
      <protection locked="0"/>
    </xf>
    <xf numFmtId="0" fontId="1" fillId="27" borderId="13" xfId="0" applyFont="1" applyFill="1" applyBorder="1" applyAlignment="1" applyProtection="1">
      <alignment horizontal="center" vertical="center"/>
      <protection locked="0"/>
    </xf>
    <xf numFmtId="44" fontId="1" fillId="32" borderId="14" xfId="2" applyFont="1" applyFill="1" applyBorder="1" applyAlignment="1" applyProtection="1">
      <alignment horizontal="center" vertical="center"/>
      <protection locked="0"/>
    </xf>
    <xf numFmtId="14" fontId="1" fillId="28" borderId="10" xfId="0" applyNumberFormat="1" applyFont="1" applyFill="1" applyBorder="1" applyAlignment="1" applyProtection="1">
      <alignment horizontal="center" vertical="center"/>
      <protection locked="0"/>
    </xf>
    <xf numFmtId="14" fontId="1" fillId="28" borderId="10" xfId="0" applyNumberFormat="1" applyFont="1" applyFill="1" applyBorder="1" applyAlignment="1">
      <alignment horizontal="center" vertical="center"/>
    </xf>
    <xf numFmtId="14" fontId="1" fillId="23" borderId="29" xfId="0" applyNumberFormat="1" applyFont="1" applyFill="1" applyBorder="1" applyAlignment="1">
      <alignment horizontal="center" vertical="center"/>
    </xf>
    <xf numFmtId="0" fontId="3" fillId="23" borderId="66" xfId="0" applyFont="1" applyFill="1" applyBorder="1" applyAlignment="1">
      <alignment horizontal="center" vertical="center"/>
    </xf>
    <xf numFmtId="0" fontId="1" fillId="23" borderId="63" xfId="0" applyFont="1" applyFill="1" applyBorder="1" applyAlignment="1">
      <alignment horizontal="center" vertical="center"/>
    </xf>
    <xf numFmtId="2" fontId="1" fillId="23" borderId="29" xfId="0" applyNumberFormat="1" applyFont="1" applyFill="1" applyBorder="1" applyAlignment="1">
      <alignment horizontal="center" vertical="center"/>
    </xf>
    <xf numFmtId="2" fontId="1" fillId="23" borderId="66" xfId="0" applyNumberFormat="1" applyFont="1" applyFill="1" applyBorder="1" applyAlignment="1">
      <alignment horizontal="center" vertical="center"/>
    </xf>
    <xf numFmtId="164" fontId="1" fillId="23" borderId="63" xfId="0" applyNumberFormat="1" applyFont="1" applyFill="1" applyBorder="1" applyAlignment="1">
      <alignment vertical="center"/>
    </xf>
    <xf numFmtId="164" fontId="1" fillId="23" borderId="64" xfId="0" applyNumberFormat="1" applyFont="1" applyFill="1" applyBorder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1" fillId="23" borderId="12" xfId="0" applyFont="1" applyFill="1" applyBorder="1" applyAlignment="1">
      <alignment horizontal="center" vertical="center"/>
    </xf>
    <xf numFmtId="0" fontId="1" fillId="23" borderId="10" xfId="0" applyFont="1" applyFill="1" applyBorder="1" applyAlignment="1">
      <alignment horizontal="center" vertical="center"/>
    </xf>
    <xf numFmtId="1" fontId="1" fillId="23" borderId="10" xfId="0" applyNumberFormat="1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0" fontId="1" fillId="23" borderId="37" xfId="0" applyFont="1" applyFill="1" applyBorder="1" applyAlignment="1">
      <alignment horizontal="center" vertical="center"/>
    </xf>
    <xf numFmtId="2" fontId="1" fillId="23" borderId="31" xfId="0" applyNumberFormat="1" applyFont="1" applyFill="1" applyBorder="1" applyAlignment="1">
      <alignment horizontal="center" vertical="center"/>
    </xf>
    <xf numFmtId="2" fontId="1" fillId="23" borderId="11" xfId="0" applyNumberFormat="1" applyFont="1" applyFill="1" applyBorder="1" applyAlignment="1">
      <alignment horizontal="center" vertical="center"/>
    </xf>
    <xf numFmtId="164" fontId="1" fillId="23" borderId="3" xfId="0" applyNumberFormat="1" applyFont="1" applyFill="1" applyBorder="1" applyAlignment="1">
      <alignment horizontal="center" vertical="center"/>
    </xf>
    <xf numFmtId="164" fontId="1" fillId="23" borderId="38" xfId="0" applyNumberFormat="1" applyFont="1" applyFill="1" applyBorder="1" applyAlignment="1">
      <alignment horizontal="center" vertical="center"/>
    </xf>
    <xf numFmtId="0" fontId="1" fillId="28" borderId="10" xfId="0" applyFont="1" applyFill="1" applyBorder="1" applyAlignment="1" applyProtection="1">
      <alignment horizontal="center" vertical="center"/>
      <protection locked="0"/>
    </xf>
    <xf numFmtId="0" fontId="1" fillId="28" borderId="26" xfId="0" applyFont="1" applyFill="1" applyBorder="1" applyAlignment="1" applyProtection="1">
      <alignment horizontal="center" vertical="center"/>
      <protection locked="0"/>
    </xf>
    <xf numFmtId="0" fontId="1" fillId="28" borderId="37" xfId="0" applyFont="1" applyFill="1" applyBorder="1" applyAlignment="1" applyProtection="1">
      <alignment horizontal="center" vertical="center"/>
      <protection locked="0"/>
    </xf>
    <xf numFmtId="44" fontId="1" fillId="28" borderId="10" xfId="2" applyFont="1" applyFill="1" applyBorder="1" applyAlignment="1" applyProtection="1">
      <alignment horizontal="center" vertical="center"/>
      <protection locked="0"/>
    </xf>
    <xf numFmtId="14" fontId="1" fillId="23" borderId="71" xfId="0" applyNumberFormat="1" applyFont="1" applyFill="1" applyBorder="1" applyAlignment="1">
      <alignment horizontal="center" vertical="center"/>
    </xf>
    <xf numFmtId="0" fontId="3" fillId="23" borderId="72" xfId="0" applyFont="1" applyFill="1" applyBorder="1" applyAlignment="1">
      <alignment horizontal="center" vertical="center"/>
    </xf>
    <xf numFmtId="0" fontId="1" fillId="23" borderId="19" xfId="0" applyFont="1" applyFill="1" applyBorder="1" applyAlignment="1">
      <alignment horizontal="center" vertical="center"/>
    </xf>
    <xf numFmtId="2" fontId="1" fillId="23" borderId="71" xfId="0" applyNumberFormat="1" applyFont="1" applyFill="1" applyBorder="1" applyAlignment="1">
      <alignment horizontal="center" vertical="center"/>
    </xf>
    <xf numFmtId="2" fontId="1" fillId="23" borderId="72" xfId="0" applyNumberFormat="1" applyFont="1" applyFill="1" applyBorder="1" applyAlignment="1">
      <alignment horizontal="center" vertical="center"/>
    </xf>
    <xf numFmtId="164" fontId="1" fillId="23" borderId="19" xfId="0" applyNumberFormat="1" applyFont="1" applyFill="1" applyBorder="1" applyAlignment="1">
      <alignment vertical="center"/>
    </xf>
    <xf numFmtId="44" fontId="1" fillId="23" borderId="71" xfId="2" applyFont="1" applyFill="1" applyBorder="1" applyAlignment="1" applyProtection="1">
      <alignment horizontal="center" vertical="center"/>
    </xf>
    <xf numFmtId="44" fontId="1" fillId="23" borderId="72" xfId="2" applyFont="1" applyFill="1" applyBorder="1" applyAlignment="1" applyProtection="1">
      <alignment horizontal="center" vertical="center"/>
    </xf>
    <xf numFmtId="0" fontId="1" fillId="28" borderId="30" xfId="0" applyFont="1" applyFill="1" applyBorder="1" applyAlignment="1" applyProtection="1">
      <alignment horizontal="center" vertical="center"/>
      <protection locked="0"/>
    </xf>
    <xf numFmtId="14" fontId="1" fillId="28" borderId="75" xfId="0" applyNumberFormat="1" applyFont="1" applyFill="1" applyBorder="1" applyAlignment="1" applyProtection="1">
      <alignment horizontal="center" vertical="center"/>
      <protection locked="0"/>
    </xf>
    <xf numFmtId="14" fontId="1" fillId="29" borderId="25" xfId="0" applyNumberFormat="1" applyFont="1" applyFill="1" applyBorder="1" applyAlignment="1" applyProtection="1">
      <alignment horizontal="center"/>
      <protection locked="0"/>
    </xf>
    <xf numFmtId="0" fontId="1" fillId="29" borderId="2" xfId="0" applyFont="1" applyFill="1" applyBorder="1" applyAlignment="1" applyProtection="1">
      <alignment horizontal="center"/>
      <protection locked="0"/>
    </xf>
    <xf numFmtId="44" fontId="1" fillId="29" borderId="26" xfId="2" applyFont="1" applyFill="1" applyBorder="1" applyAlignment="1" applyProtection="1">
      <alignment horizontal="center"/>
      <protection locked="0"/>
    </xf>
    <xf numFmtId="0" fontId="1" fillId="30" borderId="25" xfId="0" applyFont="1" applyFill="1" applyBorder="1" applyAlignment="1" applyProtection="1">
      <alignment horizontal="center"/>
      <protection locked="0"/>
    </xf>
    <xf numFmtId="44" fontId="1" fillId="30" borderId="25" xfId="2" applyFont="1" applyFill="1" applyBorder="1" applyAlignment="1" applyProtection="1">
      <alignment horizontal="center"/>
      <protection locked="0"/>
    </xf>
    <xf numFmtId="14" fontId="0" fillId="10" borderId="29" xfId="0" applyNumberFormat="1" applyFill="1" applyBorder="1" applyAlignment="1">
      <alignment horizontal="center"/>
    </xf>
    <xf numFmtId="0" fontId="2" fillId="10" borderId="66" xfId="0" applyFont="1" applyFill="1" applyBorder="1" applyAlignment="1">
      <alignment horizontal="center"/>
    </xf>
    <xf numFmtId="0" fontId="1" fillId="10" borderId="66" xfId="0" applyFont="1" applyFill="1" applyBorder="1" applyAlignment="1">
      <alignment horizontal="center"/>
    </xf>
    <xf numFmtId="44" fontId="1" fillId="10" borderId="66" xfId="2" applyFont="1" applyFill="1" applyBorder="1" applyProtection="1"/>
    <xf numFmtId="0" fontId="0" fillId="10" borderId="30" xfId="0" applyFill="1" applyBorder="1"/>
    <xf numFmtId="14" fontId="1" fillId="30" borderId="31" xfId="0" applyNumberFormat="1" applyFont="1" applyFill="1" applyBorder="1" applyAlignment="1" applyProtection="1">
      <alignment horizontal="center"/>
      <protection locked="0"/>
    </xf>
    <xf numFmtId="44" fontId="1" fillId="30" borderId="26" xfId="2" applyFont="1" applyFill="1" applyBorder="1" applyAlignment="1" applyProtection="1">
      <alignment horizontal="center"/>
      <protection locked="0"/>
    </xf>
    <xf numFmtId="14" fontId="1" fillId="30" borderId="57" xfId="0" applyNumberFormat="1" applyFont="1" applyFill="1" applyBorder="1" applyAlignment="1" applyProtection="1">
      <alignment horizontal="center"/>
      <protection locked="0"/>
    </xf>
    <xf numFmtId="0" fontId="1" fillId="30" borderId="32" xfId="0" applyFont="1" applyFill="1" applyBorder="1" applyAlignment="1" applyProtection="1">
      <alignment horizontal="center"/>
      <protection locked="0"/>
    </xf>
    <xf numFmtId="2" fontId="1" fillId="10" borderId="34" xfId="0" applyNumberFormat="1" applyFont="1" applyFill="1" applyBorder="1" applyAlignment="1">
      <alignment horizontal="center" vertical="center"/>
    </xf>
    <xf numFmtId="164" fontId="1" fillId="10" borderId="55" xfId="0" applyNumberFormat="1" applyFont="1" applyFill="1" applyBorder="1" applyAlignment="1">
      <alignment vertical="center"/>
    </xf>
    <xf numFmtId="44" fontId="1" fillId="30" borderId="32" xfId="2" applyFont="1" applyFill="1" applyBorder="1" applyAlignment="1" applyProtection="1">
      <alignment horizontal="center"/>
      <protection locked="0"/>
    </xf>
    <xf numFmtId="44" fontId="1" fillId="10" borderId="32" xfId="2" applyFont="1" applyFill="1" applyBorder="1" applyProtection="1"/>
    <xf numFmtId="44" fontId="1" fillId="30" borderId="33" xfId="2" applyFont="1" applyFill="1" applyBorder="1" applyAlignment="1" applyProtection="1">
      <alignment horizontal="center"/>
      <protection locked="0"/>
    </xf>
    <xf numFmtId="14" fontId="1" fillId="21" borderId="67" xfId="0" applyNumberFormat="1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0" fontId="3" fillId="21" borderId="25" xfId="0" applyFont="1" applyFill="1" applyBorder="1" applyAlignment="1">
      <alignment horizontal="center" vertical="center"/>
    </xf>
    <xf numFmtId="0" fontId="3" fillId="21" borderId="66" xfId="0" applyFont="1" applyFill="1" applyBorder="1" applyAlignment="1">
      <alignment horizontal="left" vertical="center"/>
    </xf>
    <xf numFmtId="0" fontId="3" fillId="21" borderId="27" xfId="0" applyFont="1" applyFill="1" applyBorder="1" applyAlignment="1">
      <alignment horizontal="center" vertical="center"/>
    </xf>
    <xf numFmtId="2" fontId="1" fillId="23" borderId="25" xfId="0" applyNumberFormat="1" applyFont="1" applyFill="1" applyBorder="1" applyAlignment="1" applyProtection="1">
      <alignment horizontal="center" vertical="center"/>
      <protection locked="0"/>
    </xf>
    <xf numFmtId="164" fontId="1" fillId="23" borderId="10" xfId="0" applyNumberFormat="1" applyFont="1" applyFill="1" applyBorder="1" applyAlignment="1" applyProtection="1">
      <alignment vertical="center"/>
      <protection locked="0"/>
    </xf>
    <xf numFmtId="44" fontId="1" fillId="23" borderId="25" xfId="2" applyFont="1" applyFill="1" applyBorder="1" applyAlignment="1" applyProtection="1">
      <alignment horizontal="center" vertical="center"/>
      <protection locked="0"/>
    </xf>
    <xf numFmtId="7" fontId="3" fillId="0" borderId="0" xfId="2" applyNumberFormat="1" applyFont="1" applyBorder="1" applyAlignment="1" applyProtection="1">
      <alignment horizontal="center" vertical="center"/>
    </xf>
    <xf numFmtId="2" fontId="1" fillId="23" borderId="32" xfId="0" applyNumberFormat="1" applyFont="1" applyFill="1" applyBorder="1" applyAlignment="1" applyProtection="1">
      <alignment horizontal="center" vertical="center"/>
      <protection locked="0"/>
    </xf>
    <xf numFmtId="44" fontId="1" fillId="23" borderId="32" xfId="2" applyFont="1" applyFill="1" applyBorder="1" applyAlignment="1" applyProtection="1">
      <alignment horizontal="center" vertical="center"/>
      <protection locked="0"/>
    </xf>
    <xf numFmtId="0" fontId="1" fillId="28" borderId="33" xfId="0" applyFont="1" applyFill="1" applyBorder="1" applyAlignment="1" applyProtection="1">
      <alignment horizontal="center" vertical="center"/>
      <protection locked="0"/>
    </xf>
    <xf numFmtId="0" fontId="1" fillId="28" borderId="31" xfId="0" applyFont="1" applyFill="1" applyBorder="1" applyAlignment="1" applyProtection="1">
      <alignment horizontal="center" vertical="center"/>
      <protection locked="0"/>
    </xf>
    <xf numFmtId="0" fontId="1" fillId="28" borderId="57" xfId="0" applyFont="1" applyFill="1" applyBorder="1" applyAlignment="1" applyProtection="1">
      <alignment horizontal="center" vertical="center"/>
      <protection locked="0"/>
    </xf>
    <xf numFmtId="0" fontId="1" fillId="18" borderId="20" xfId="0" applyFont="1" applyFill="1" applyBorder="1" applyAlignment="1">
      <alignment horizontal="center" vertical="center"/>
    </xf>
    <xf numFmtId="2" fontId="1" fillId="18" borderId="29" xfId="0" applyNumberFormat="1" applyFont="1" applyFill="1" applyBorder="1" applyAlignment="1">
      <alignment horizontal="center" vertical="center"/>
    </xf>
    <xf numFmtId="0" fontId="1" fillId="29" borderId="10" xfId="0" applyFont="1" applyFill="1" applyBorder="1" applyAlignment="1" applyProtection="1">
      <alignment horizontal="center" vertical="center"/>
      <protection locked="0"/>
    </xf>
    <xf numFmtId="2" fontId="1" fillId="18" borderId="31" xfId="0" applyNumberFormat="1" applyFont="1" applyFill="1" applyBorder="1" applyAlignment="1">
      <alignment horizontal="center" vertical="center"/>
    </xf>
    <xf numFmtId="0" fontId="1" fillId="29" borderId="10" xfId="0" applyFont="1" applyFill="1" applyBorder="1" applyAlignment="1" applyProtection="1">
      <alignment horizontal="center"/>
      <protection locked="0"/>
    </xf>
    <xf numFmtId="0" fontId="1" fillId="18" borderId="31" xfId="0" applyFont="1" applyFill="1" applyBorder="1" applyAlignment="1">
      <alignment horizontal="center"/>
    </xf>
    <xf numFmtId="0" fontId="1" fillId="29" borderId="31" xfId="0" applyFont="1" applyFill="1" applyBorder="1" applyAlignment="1" applyProtection="1">
      <alignment horizontal="center"/>
      <protection locked="0"/>
    </xf>
    <xf numFmtId="0" fontId="1" fillId="29" borderId="37" xfId="0" applyFont="1" applyFill="1" applyBorder="1" applyAlignment="1" applyProtection="1">
      <alignment horizontal="center"/>
      <protection locked="0"/>
    </xf>
    <xf numFmtId="0" fontId="1" fillId="18" borderId="57" xfId="0" applyFont="1" applyFill="1" applyBorder="1" applyAlignment="1">
      <alignment horizontal="center"/>
    </xf>
    <xf numFmtId="0" fontId="16" fillId="18" borderId="67" xfId="0" applyFont="1" applyFill="1" applyBorder="1" applyAlignment="1">
      <alignment horizontal="center"/>
    </xf>
    <xf numFmtId="0" fontId="1" fillId="10" borderId="65" xfId="0" applyFont="1" applyFill="1" applyBorder="1" applyAlignment="1">
      <alignment horizontal="center"/>
    </xf>
    <xf numFmtId="0" fontId="1" fillId="10" borderId="30" xfId="0" applyFont="1" applyFill="1" applyBorder="1" applyAlignment="1">
      <alignment horizontal="center"/>
    </xf>
    <xf numFmtId="0" fontId="1" fillId="30" borderId="10" xfId="0" applyFont="1" applyFill="1" applyBorder="1" applyAlignment="1" applyProtection="1">
      <alignment horizontal="center"/>
      <protection locked="0"/>
    </xf>
    <xf numFmtId="0" fontId="1" fillId="30" borderId="31" xfId="0" applyFont="1" applyFill="1" applyBorder="1" applyAlignment="1" applyProtection="1">
      <alignment horizontal="center"/>
      <protection locked="0"/>
    </xf>
    <xf numFmtId="0" fontId="1" fillId="30" borderId="27" xfId="0" applyFont="1" applyFill="1" applyBorder="1" applyAlignment="1" applyProtection="1">
      <alignment horizontal="center"/>
      <protection locked="0"/>
    </xf>
    <xf numFmtId="0" fontId="1" fillId="30" borderId="26" xfId="0" applyFont="1" applyFill="1" applyBorder="1" applyAlignment="1" applyProtection="1">
      <alignment horizontal="center"/>
      <protection locked="0"/>
    </xf>
    <xf numFmtId="0" fontId="1" fillId="30" borderId="53" xfId="0" applyFont="1" applyFill="1" applyBorder="1" applyAlignment="1" applyProtection="1">
      <alignment horizontal="center"/>
      <protection locked="0"/>
    </xf>
    <xf numFmtId="0" fontId="1" fillId="30" borderId="33" xfId="0" applyFont="1" applyFill="1" applyBorder="1" applyAlignment="1" applyProtection="1">
      <alignment horizontal="center"/>
      <protection locked="0"/>
    </xf>
    <xf numFmtId="0" fontId="0" fillId="0" borderId="15" xfId="0" applyBorder="1" applyAlignment="1">
      <alignment horizontal="center"/>
    </xf>
    <xf numFmtId="0" fontId="5" fillId="0" borderId="45" xfId="0" applyFont="1" applyBorder="1" applyAlignment="1">
      <alignment horizontal="right"/>
    </xf>
    <xf numFmtId="0" fontId="0" fillId="0" borderId="16" xfId="2" applyNumberFormat="1" applyFont="1" applyFill="1" applyBorder="1" applyAlignment="1" applyProtection="1">
      <alignment horizontal="center"/>
    </xf>
    <xf numFmtId="44" fontId="0" fillId="0" borderId="17" xfId="2" applyFont="1" applyFill="1" applyBorder="1" applyAlignment="1" applyProtection="1">
      <alignment horizontal="center"/>
    </xf>
    <xf numFmtId="0" fontId="5" fillId="21" borderId="25" xfId="0" applyFont="1" applyFill="1" applyBorder="1" applyAlignment="1">
      <alignment horizontal="center" vertical="center"/>
    </xf>
    <xf numFmtId="44" fontId="5" fillId="21" borderId="25" xfId="2" applyFont="1" applyFill="1" applyBorder="1" applyAlignment="1" applyProtection="1">
      <alignment horizontal="center" vertical="center"/>
    </xf>
    <xf numFmtId="0" fontId="5" fillId="21" borderId="31" xfId="0" applyFont="1" applyFill="1" applyBorder="1" applyAlignment="1">
      <alignment horizontal="right" vertical="center"/>
    </xf>
    <xf numFmtId="44" fontId="5" fillId="21" borderId="26" xfId="2" applyFont="1" applyFill="1" applyBorder="1" applyAlignment="1" applyProtection="1">
      <alignment horizontal="center" vertical="center"/>
    </xf>
    <xf numFmtId="0" fontId="5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2" fillId="21" borderId="43" xfId="0" applyFont="1" applyFill="1" applyBorder="1" applyAlignment="1">
      <alignment horizontal="center" vertical="center"/>
    </xf>
    <xf numFmtId="0" fontId="2" fillId="28" borderId="10" xfId="0" applyFont="1" applyFill="1" applyBorder="1" applyAlignment="1" applyProtection="1">
      <alignment horizontal="center" vertical="center"/>
      <protection locked="0"/>
    </xf>
    <xf numFmtId="44" fontId="0" fillId="0" borderId="0" xfId="2" applyFont="1"/>
    <xf numFmtId="44" fontId="5" fillId="0" borderId="0" xfId="2" applyFont="1"/>
    <xf numFmtId="14" fontId="5" fillId="0" borderId="0" xfId="0" applyNumberFormat="1" applyFont="1"/>
    <xf numFmtId="8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7" fontId="3" fillId="0" borderId="7" xfId="2" applyNumberFormat="1" applyFont="1" applyBorder="1" applyAlignment="1" applyProtection="1">
      <alignment horizontal="center" vertical="center"/>
    </xf>
    <xf numFmtId="7" fontId="3" fillId="0" borderId="36" xfId="2" applyNumberFormat="1" applyFont="1" applyBorder="1" applyAlignment="1" applyProtection="1">
      <alignment horizontal="center" vertical="center"/>
    </xf>
    <xf numFmtId="7" fontId="3" fillId="0" borderId="47" xfId="2" applyNumberFormat="1" applyFont="1" applyBorder="1" applyAlignment="1" applyProtection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164" fontId="1" fillId="4" borderId="20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27" xfId="0" applyFont="1" applyFill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164" fontId="1" fillId="4" borderId="54" xfId="0" applyNumberFormat="1" applyFont="1" applyFill="1" applyBorder="1" applyAlignment="1">
      <alignment horizontal="center" vertical="center"/>
    </xf>
    <xf numFmtId="164" fontId="1" fillId="4" borderId="5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64" fontId="1" fillId="5" borderId="20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7" borderId="20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12" borderId="20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4" fontId="1" fillId="12" borderId="10" xfId="0" applyNumberFormat="1" applyFont="1" applyFill="1" applyBorder="1" applyAlignment="1">
      <alignment horizontal="center" vertical="center"/>
    </xf>
    <xf numFmtId="164" fontId="1" fillId="12" borderId="3" xfId="0" applyNumberFormat="1" applyFont="1" applyFill="1" applyBorder="1" applyAlignment="1">
      <alignment horizontal="center" vertical="center"/>
    </xf>
    <xf numFmtId="164" fontId="1" fillId="8" borderId="20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8" borderId="10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11" borderId="20" xfId="0" applyNumberFormat="1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2EFF5"/>
      <color rgb="FFE5FFFF"/>
      <color rgb="FFFDEADB"/>
      <color rgb="FFEEEEEE"/>
      <color rgb="FFD9EDF3"/>
      <color rgb="FFE7E2EE"/>
      <color rgb="FFF6E6E6"/>
      <color rgb="FF66FFFF"/>
      <color rgb="FFE6B8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2D3F-C8A5-45AC-9275-6AFA41B52315}">
  <sheetPr>
    <pageSetUpPr fitToPage="1"/>
  </sheetPr>
  <dimension ref="A1:AA200"/>
  <sheetViews>
    <sheetView showZeros="0" tabSelected="1" topLeftCell="D1" zoomScale="120" zoomScaleNormal="120" workbookViewId="0">
      <selection activeCell="G9" sqref="G9"/>
    </sheetView>
  </sheetViews>
  <sheetFormatPr defaultRowHeight="13.2" outlineLevelRow="1" x14ac:dyDescent="0.25"/>
  <cols>
    <col min="1" max="1" width="10.6640625" style="1" customWidth="1"/>
    <col min="2" max="2" width="43.33203125" style="1" customWidth="1"/>
    <col min="3" max="6" width="14.6640625" style="1" customWidth="1"/>
    <col min="7" max="8" width="14.6640625" customWidth="1"/>
    <col min="9" max="9" width="46.109375" customWidth="1"/>
    <col min="10" max="10" width="10.5546875" bestFit="1" customWidth="1"/>
    <col min="11" max="11" width="9.109375" customWidth="1"/>
    <col min="13" max="13" width="42.88671875" bestFit="1" customWidth="1"/>
    <col min="14" max="14" width="16.5546875" customWidth="1"/>
    <col min="15" max="15" width="25" bestFit="1" customWidth="1"/>
    <col min="20" max="21" width="10.5546875" bestFit="1" customWidth="1"/>
    <col min="27" max="27" width="12" bestFit="1" customWidth="1"/>
  </cols>
  <sheetData>
    <row r="1" spans="1:18" x14ac:dyDescent="0.25">
      <c r="A1" s="2" t="s">
        <v>28</v>
      </c>
      <c r="B1" s="3"/>
      <c r="F1" s="4" t="s">
        <v>27</v>
      </c>
      <c r="G1" s="4"/>
      <c r="I1" s="2" t="s">
        <v>26</v>
      </c>
    </row>
    <row r="2" spans="1:18" ht="22.5" customHeight="1" x14ac:dyDescent="0.4">
      <c r="A2" s="513">
        <v>2.8</v>
      </c>
      <c r="B2" s="514"/>
      <c r="C2" s="515"/>
      <c r="D2" s="515"/>
      <c r="E2" s="515"/>
      <c r="F2" s="515"/>
      <c r="G2" s="516"/>
      <c r="H2" s="516"/>
      <c r="I2" s="516"/>
      <c r="M2" s="2" t="s">
        <v>335</v>
      </c>
      <c r="P2" s="2" t="s">
        <v>338</v>
      </c>
    </row>
    <row r="3" spans="1:18" ht="13.8" thickBot="1" x14ac:dyDescent="0.3">
      <c r="A3"/>
      <c r="L3" t="s">
        <v>323</v>
      </c>
      <c r="M3" t="s">
        <v>324</v>
      </c>
      <c r="N3" t="s">
        <v>325</v>
      </c>
    </row>
    <row r="4" spans="1:18" x14ac:dyDescent="0.25">
      <c r="A4" s="15"/>
      <c r="B4" s="663" t="s">
        <v>34</v>
      </c>
      <c r="C4" s="17"/>
      <c r="D4" s="517" t="s">
        <v>18</v>
      </c>
      <c r="E4" s="518"/>
      <c r="F4" s="519"/>
      <c r="G4" s="517" t="s">
        <v>21</v>
      </c>
      <c r="H4" s="518"/>
      <c r="I4" s="667" t="s">
        <v>281</v>
      </c>
      <c r="L4" t="s">
        <v>326</v>
      </c>
      <c r="M4" t="s">
        <v>327</v>
      </c>
      <c r="N4" t="s">
        <v>328</v>
      </c>
      <c r="O4" s="2" t="s">
        <v>185</v>
      </c>
      <c r="P4" s="2" t="s">
        <v>342</v>
      </c>
      <c r="Q4" s="2" t="s">
        <v>343</v>
      </c>
      <c r="R4" s="2" t="s">
        <v>345</v>
      </c>
    </row>
    <row r="5" spans="1:18" x14ac:dyDescent="0.25">
      <c r="A5" s="18"/>
      <c r="B5" s="664"/>
      <c r="C5" s="20"/>
      <c r="D5" s="21"/>
      <c r="E5" s="520" t="s">
        <v>186</v>
      </c>
      <c r="F5" s="533">
        <v>36.07</v>
      </c>
      <c r="G5" s="25"/>
      <c r="H5" s="25" t="s">
        <v>198</v>
      </c>
      <c r="I5" s="668"/>
      <c r="L5" t="s">
        <v>321</v>
      </c>
      <c r="M5" t="s">
        <v>322</v>
      </c>
      <c r="N5" t="s">
        <v>329</v>
      </c>
      <c r="O5" s="127" t="s">
        <v>344</v>
      </c>
      <c r="P5" s="658">
        <v>52</v>
      </c>
      <c r="Q5" s="660">
        <f>P5*8</f>
        <v>416</v>
      </c>
    </row>
    <row r="6" spans="1:18" x14ac:dyDescent="0.25">
      <c r="A6" s="665" t="s">
        <v>194</v>
      </c>
      <c r="B6" s="28"/>
      <c r="C6" s="29"/>
      <c r="D6" s="30" t="s">
        <v>6</v>
      </c>
      <c r="E6" s="31" t="s">
        <v>8</v>
      </c>
      <c r="F6" s="521"/>
      <c r="G6" s="30" t="s">
        <v>12</v>
      </c>
      <c r="H6" s="31" t="s">
        <v>12</v>
      </c>
      <c r="I6" s="522"/>
      <c r="L6" t="s">
        <v>330</v>
      </c>
      <c r="M6" t="s">
        <v>331</v>
      </c>
      <c r="N6" t="s">
        <v>332</v>
      </c>
      <c r="O6" s="127" t="s">
        <v>340</v>
      </c>
      <c r="P6" s="657">
        <f>$P$5*1.3-$P$5</f>
        <v>15.600000000000009</v>
      </c>
    </row>
    <row r="7" spans="1:18" x14ac:dyDescent="0.25">
      <c r="A7" s="666"/>
      <c r="B7" s="28"/>
      <c r="C7" s="36" t="s">
        <v>5</v>
      </c>
      <c r="D7" s="37" t="s">
        <v>7</v>
      </c>
      <c r="E7" s="35" t="s">
        <v>7</v>
      </c>
      <c r="F7" s="523"/>
      <c r="G7" s="37" t="s">
        <v>6</v>
      </c>
      <c r="H7" s="35" t="s">
        <v>8</v>
      </c>
      <c r="I7" s="524"/>
      <c r="L7" t="s">
        <v>320</v>
      </c>
      <c r="M7" t="s">
        <v>333</v>
      </c>
      <c r="N7" t="s">
        <v>334</v>
      </c>
      <c r="O7" s="127" t="s">
        <v>341</v>
      </c>
      <c r="P7" s="73">
        <f>$P$5*1.6-$P$5</f>
        <v>31.200000000000003</v>
      </c>
      <c r="Q7" s="73">
        <f>(P6*4)+(P7*4)</f>
        <v>187.20000000000005</v>
      </c>
      <c r="R7" s="660">
        <f>Q5+Q7</f>
        <v>603.20000000000005</v>
      </c>
    </row>
    <row r="8" spans="1:18" ht="13.8" thickBot="1" x14ac:dyDescent="0.3">
      <c r="A8" s="666"/>
      <c r="B8" s="525"/>
      <c r="C8" s="36"/>
      <c r="D8" s="37"/>
      <c r="E8" s="35"/>
      <c r="F8" s="526"/>
      <c r="G8" s="37" t="s">
        <v>10</v>
      </c>
      <c r="H8" s="35" t="s">
        <v>10</v>
      </c>
      <c r="I8" s="524"/>
      <c r="L8" s="127" t="s">
        <v>336</v>
      </c>
      <c r="M8" s="127" t="s">
        <v>337</v>
      </c>
      <c r="N8" s="659" t="s">
        <v>346</v>
      </c>
      <c r="O8" s="659" t="s">
        <v>339</v>
      </c>
      <c r="P8" s="73">
        <f>$P$5*1.6-$P$5</f>
        <v>31.200000000000003</v>
      </c>
      <c r="Q8" s="73">
        <f>P8*8</f>
        <v>249.60000000000002</v>
      </c>
      <c r="R8" s="660">
        <f>Q5+Q8</f>
        <v>665.6</v>
      </c>
    </row>
    <row r="9" spans="1:18" x14ac:dyDescent="0.25">
      <c r="A9" s="527"/>
      <c r="B9" s="508" t="s">
        <v>191</v>
      </c>
      <c r="C9" s="528"/>
      <c r="D9" s="529"/>
      <c r="E9" s="530"/>
      <c r="F9" s="531"/>
      <c r="G9" s="529"/>
      <c r="H9" s="530"/>
      <c r="I9" s="532"/>
      <c r="L9" s="127" t="s">
        <v>350</v>
      </c>
      <c r="M9" s="127" t="s">
        <v>351</v>
      </c>
      <c r="N9" t="s">
        <v>349</v>
      </c>
    </row>
    <row r="10" spans="1:18" s="51" customFormat="1" ht="15" customHeight="1" x14ac:dyDescent="0.25">
      <c r="A10" s="490"/>
      <c r="B10" s="509" t="s">
        <v>177</v>
      </c>
      <c r="C10" s="247">
        <v>0</v>
      </c>
      <c r="D10" s="510">
        <v>4</v>
      </c>
      <c r="E10" s="511">
        <f>C10*D10</f>
        <v>0</v>
      </c>
      <c r="F10" s="248">
        <f>E10*$F$5</f>
        <v>0</v>
      </c>
      <c r="G10" s="249"/>
      <c r="H10" s="250"/>
      <c r="I10" s="512"/>
      <c r="L10" s="51" t="s">
        <v>352</v>
      </c>
      <c r="M10" s="126" t="s">
        <v>364</v>
      </c>
      <c r="N10" s="662">
        <v>45973</v>
      </c>
      <c r="O10" s="661" t="s">
        <v>347</v>
      </c>
      <c r="P10" s="2" t="s">
        <v>342</v>
      </c>
      <c r="Q10" s="2" t="s">
        <v>343</v>
      </c>
      <c r="R10" s="2" t="s">
        <v>345</v>
      </c>
    </row>
    <row r="11" spans="1:18" s="51" customFormat="1" ht="15" customHeight="1" x14ac:dyDescent="0.25">
      <c r="A11" s="490"/>
      <c r="B11" s="509" t="s">
        <v>187</v>
      </c>
      <c r="C11" s="247">
        <v>0</v>
      </c>
      <c r="D11" s="510">
        <v>0.25</v>
      </c>
      <c r="E11" s="511">
        <f t="shared" ref="E11" si="0">(IF(D11="","",C11*D11))</f>
        <v>0</v>
      </c>
      <c r="F11" s="248">
        <f>E11*$F$5</f>
        <v>0</v>
      </c>
      <c r="G11" s="249"/>
      <c r="H11" s="250"/>
      <c r="I11" s="512"/>
      <c r="M11" s="126" t="s">
        <v>365</v>
      </c>
      <c r="O11" s="127" t="s">
        <v>344</v>
      </c>
      <c r="P11" s="658">
        <v>62.5</v>
      </c>
      <c r="Q11" s="660">
        <f>P11*8</f>
        <v>500</v>
      </c>
      <c r="R11"/>
    </row>
    <row r="12" spans="1:18" s="51" customFormat="1" ht="15" customHeight="1" x14ac:dyDescent="0.25">
      <c r="A12" s="490"/>
      <c r="B12" s="509" t="s">
        <v>138</v>
      </c>
      <c r="C12" s="247">
        <v>0</v>
      </c>
      <c r="D12" s="510">
        <v>1</v>
      </c>
      <c r="E12" s="511">
        <f t="shared" ref="E12:E25" si="1">C12*D12</f>
        <v>0</v>
      </c>
      <c r="F12" s="248">
        <f t="shared" ref="F12:F27" si="2">E12*$F$5</f>
        <v>0</v>
      </c>
      <c r="G12" s="249"/>
      <c r="H12" s="250"/>
      <c r="I12" s="512"/>
      <c r="M12" s="51" t="s">
        <v>366</v>
      </c>
      <c r="O12" s="127" t="s">
        <v>340</v>
      </c>
      <c r="P12" s="657">
        <f>$P$11*1.3-$P$11</f>
        <v>18.75</v>
      </c>
      <c r="Q12"/>
      <c r="R12"/>
    </row>
    <row r="13" spans="1:18" s="51" customFormat="1" ht="15" customHeight="1" x14ac:dyDescent="0.25">
      <c r="A13" s="490"/>
      <c r="B13" s="509" t="s">
        <v>43</v>
      </c>
      <c r="C13" s="247">
        <v>0</v>
      </c>
      <c r="D13" s="510">
        <v>0.5</v>
      </c>
      <c r="E13" s="511">
        <f t="shared" si="1"/>
        <v>0</v>
      </c>
      <c r="F13" s="248">
        <f t="shared" si="2"/>
        <v>0</v>
      </c>
      <c r="G13" s="249"/>
      <c r="H13" s="250"/>
      <c r="I13" s="512"/>
      <c r="L13" s="126" t="s">
        <v>368</v>
      </c>
      <c r="M13" s="126" t="s">
        <v>367</v>
      </c>
      <c r="N13" s="662">
        <v>45982</v>
      </c>
      <c r="O13" s="127" t="s">
        <v>341</v>
      </c>
      <c r="P13" s="73">
        <f>$P$11*1.6-$P$11</f>
        <v>37.5</v>
      </c>
      <c r="Q13" s="73">
        <f>(P12*4)+(P13*4)</f>
        <v>225</v>
      </c>
      <c r="R13" s="660">
        <f>Q11+Q13</f>
        <v>725</v>
      </c>
    </row>
    <row r="14" spans="1:18" s="51" customFormat="1" ht="15" customHeight="1" x14ac:dyDescent="0.25">
      <c r="A14" s="490"/>
      <c r="B14" s="509" t="s">
        <v>170</v>
      </c>
      <c r="C14" s="247">
        <v>0</v>
      </c>
      <c r="D14" s="510">
        <v>0.5</v>
      </c>
      <c r="E14" s="511">
        <f t="shared" si="1"/>
        <v>0</v>
      </c>
      <c r="F14" s="248">
        <f t="shared" si="2"/>
        <v>0</v>
      </c>
      <c r="G14" s="249"/>
      <c r="H14" s="250"/>
      <c r="I14" s="512"/>
      <c r="L14" s="126" t="s">
        <v>369</v>
      </c>
      <c r="M14" s="126" t="s">
        <v>370</v>
      </c>
      <c r="N14" s="662">
        <v>45985</v>
      </c>
      <c r="O14" s="659" t="s">
        <v>339</v>
      </c>
      <c r="P14" s="73">
        <f>$P$11*1.6-$P$11</f>
        <v>37.5</v>
      </c>
      <c r="Q14" s="73">
        <f>P14*8</f>
        <v>300</v>
      </c>
      <c r="R14" s="660">
        <f>Q11+Q14</f>
        <v>800</v>
      </c>
    </row>
    <row r="15" spans="1:18" s="51" customFormat="1" ht="15" customHeight="1" x14ac:dyDescent="0.25">
      <c r="A15" s="490"/>
      <c r="B15" s="509" t="s">
        <v>260</v>
      </c>
      <c r="C15" s="247">
        <v>0</v>
      </c>
      <c r="D15" s="510">
        <v>0.25</v>
      </c>
      <c r="E15" s="511">
        <f t="shared" si="1"/>
        <v>0</v>
      </c>
      <c r="F15" s="248">
        <f t="shared" si="2"/>
        <v>0</v>
      </c>
      <c r="G15" s="249"/>
      <c r="H15" s="250"/>
      <c r="I15" s="512" t="s">
        <v>292</v>
      </c>
      <c r="L15" s="51" t="s">
        <v>371</v>
      </c>
      <c r="M15" s="51" t="s">
        <v>372</v>
      </c>
      <c r="N15" s="662">
        <v>46161</v>
      </c>
    </row>
    <row r="16" spans="1:18" s="51" customFormat="1" ht="15" customHeight="1" x14ac:dyDescent="0.25">
      <c r="A16" s="490"/>
      <c r="B16" s="509" t="s">
        <v>172</v>
      </c>
      <c r="C16" s="247">
        <v>0</v>
      </c>
      <c r="D16" s="510">
        <v>0.5</v>
      </c>
      <c r="E16" s="511">
        <f t="shared" si="1"/>
        <v>0</v>
      </c>
      <c r="F16" s="248">
        <f t="shared" si="2"/>
        <v>0</v>
      </c>
      <c r="G16" s="249"/>
      <c r="H16" s="250"/>
      <c r="I16" s="512"/>
      <c r="O16" s="661" t="s">
        <v>348</v>
      </c>
      <c r="P16" s="2" t="s">
        <v>342</v>
      </c>
      <c r="Q16" s="2" t="s">
        <v>343</v>
      </c>
      <c r="R16" s="2" t="s">
        <v>345</v>
      </c>
    </row>
    <row r="17" spans="1:23" s="51" customFormat="1" ht="15" customHeight="1" x14ac:dyDescent="0.25">
      <c r="A17" s="490"/>
      <c r="B17" s="509" t="s">
        <v>173</v>
      </c>
      <c r="C17" s="247">
        <v>0</v>
      </c>
      <c r="D17" s="510">
        <v>0.75</v>
      </c>
      <c r="E17" s="511">
        <f t="shared" si="1"/>
        <v>0</v>
      </c>
      <c r="F17" s="248">
        <f t="shared" si="2"/>
        <v>0</v>
      </c>
      <c r="G17" s="249"/>
      <c r="H17" s="250"/>
      <c r="I17" s="512"/>
      <c r="O17" s="127" t="s">
        <v>344</v>
      </c>
      <c r="P17" s="658">
        <v>75</v>
      </c>
      <c r="Q17" s="660">
        <f>P17*8</f>
        <v>600</v>
      </c>
      <c r="R17"/>
    </row>
    <row r="18" spans="1:23" s="51" customFormat="1" ht="15" customHeight="1" x14ac:dyDescent="0.25">
      <c r="A18" s="490"/>
      <c r="B18" s="509" t="s">
        <v>175</v>
      </c>
      <c r="C18" s="247">
        <v>0</v>
      </c>
      <c r="D18" s="510">
        <v>0.5</v>
      </c>
      <c r="E18" s="511">
        <f t="shared" si="1"/>
        <v>0</v>
      </c>
      <c r="F18" s="248">
        <f t="shared" si="2"/>
        <v>0</v>
      </c>
      <c r="G18" s="249"/>
      <c r="H18" s="250"/>
      <c r="I18" s="512"/>
      <c r="O18" s="127" t="s">
        <v>340</v>
      </c>
      <c r="P18" s="657">
        <f>$P$11*1.3-$P$11</f>
        <v>18.75</v>
      </c>
      <c r="Q18"/>
      <c r="R18"/>
    </row>
    <row r="19" spans="1:23" s="51" customFormat="1" ht="15" customHeight="1" x14ac:dyDescent="0.25">
      <c r="A19" s="490"/>
      <c r="B19" s="509" t="s">
        <v>176</v>
      </c>
      <c r="C19" s="247">
        <v>0</v>
      </c>
      <c r="D19" s="510">
        <v>1</v>
      </c>
      <c r="E19" s="511">
        <f t="shared" si="1"/>
        <v>0</v>
      </c>
      <c r="F19" s="248">
        <f t="shared" si="2"/>
        <v>0</v>
      </c>
      <c r="G19" s="249"/>
      <c r="H19" s="250"/>
      <c r="I19" s="512"/>
      <c r="O19" s="127" t="s">
        <v>341</v>
      </c>
      <c r="P19" s="73">
        <f>$P$11*1.6-$P$11</f>
        <v>37.5</v>
      </c>
      <c r="Q19" s="73">
        <f>(P18*4)+(P19*4)</f>
        <v>225</v>
      </c>
      <c r="R19" s="660">
        <f>Q17+Q19</f>
        <v>825</v>
      </c>
    </row>
    <row r="20" spans="1:23" s="51" customFormat="1" ht="15" customHeight="1" x14ac:dyDescent="0.25">
      <c r="A20" s="490"/>
      <c r="B20" s="509" t="s">
        <v>174</v>
      </c>
      <c r="C20" s="247">
        <v>0</v>
      </c>
      <c r="D20" s="510">
        <v>0.5</v>
      </c>
      <c r="E20" s="511">
        <f t="shared" si="1"/>
        <v>0</v>
      </c>
      <c r="F20" s="248">
        <f t="shared" si="2"/>
        <v>0</v>
      </c>
      <c r="G20" s="249"/>
      <c r="H20" s="250"/>
      <c r="I20" s="512"/>
      <c r="O20" s="659" t="s">
        <v>339</v>
      </c>
      <c r="P20" s="73">
        <f>$P$11*1.6-$P$11</f>
        <v>37.5</v>
      </c>
      <c r="Q20" s="73">
        <f>P20*8</f>
        <v>300</v>
      </c>
      <c r="R20" s="660">
        <f>Q17+Q20</f>
        <v>900</v>
      </c>
    </row>
    <row r="21" spans="1:23" s="51" customFormat="1" ht="15" customHeight="1" x14ac:dyDescent="0.25">
      <c r="A21" s="490"/>
      <c r="B21" s="509" t="s">
        <v>188</v>
      </c>
      <c r="C21" s="247">
        <v>0</v>
      </c>
      <c r="D21" s="510">
        <v>4</v>
      </c>
      <c r="E21" s="511">
        <f t="shared" si="1"/>
        <v>0</v>
      </c>
      <c r="F21" s="248">
        <f t="shared" si="2"/>
        <v>0</v>
      </c>
      <c r="G21" s="249"/>
      <c r="H21" s="250"/>
      <c r="I21" s="512"/>
    </row>
    <row r="22" spans="1:23" s="51" customFormat="1" ht="15" customHeight="1" x14ac:dyDescent="0.25">
      <c r="A22" s="490"/>
      <c r="B22" s="509"/>
      <c r="C22" s="247">
        <v>0</v>
      </c>
      <c r="D22" s="510"/>
      <c r="E22" s="511">
        <f t="shared" si="1"/>
        <v>0</v>
      </c>
      <c r="F22" s="248">
        <f t="shared" si="2"/>
        <v>0</v>
      </c>
      <c r="G22" s="249"/>
      <c r="H22" s="250"/>
      <c r="I22" s="512"/>
    </row>
    <row r="23" spans="1:23" s="51" customFormat="1" ht="15" customHeight="1" x14ac:dyDescent="0.25">
      <c r="A23" s="490"/>
      <c r="B23" s="509" t="s">
        <v>189</v>
      </c>
      <c r="C23" s="247">
        <v>0</v>
      </c>
      <c r="D23" s="510">
        <v>0.25</v>
      </c>
      <c r="E23" s="511">
        <f t="shared" si="1"/>
        <v>0</v>
      </c>
      <c r="F23" s="248">
        <f t="shared" si="2"/>
        <v>0</v>
      </c>
      <c r="G23" s="249"/>
      <c r="H23" s="250"/>
      <c r="I23" s="512"/>
    </row>
    <row r="24" spans="1:23" s="51" customFormat="1" ht="15" customHeight="1" x14ac:dyDescent="0.25">
      <c r="A24" s="490"/>
      <c r="B24" s="509" t="s">
        <v>190</v>
      </c>
      <c r="C24" s="247">
        <v>0</v>
      </c>
      <c r="D24" s="510">
        <v>2</v>
      </c>
      <c r="E24" s="511">
        <f t="shared" si="1"/>
        <v>0</v>
      </c>
      <c r="F24" s="248">
        <f t="shared" si="2"/>
        <v>0</v>
      </c>
      <c r="G24" s="249"/>
      <c r="H24" s="250"/>
      <c r="I24" s="512"/>
    </row>
    <row r="25" spans="1:23" s="51" customFormat="1" ht="15" customHeight="1" x14ac:dyDescent="0.25">
      <c r="A25" s="490"/>
      <c r="B25" s="509" t="s">
        <v>167</v>
      </c>
      <c r="C25" s="247">
        <v>0</v>
      </c>
      <c r="D25" s="510">
        <v>1</v>
      </c>
      <c r="E25" s="511">
        <f t="shared" si="1"/>
        <v>0</v>
      </c>
      <c r="F25" s="248">
        <f t="shared" si="2"/>
        <v>0</v>
      </c>
      <c r="G25" s="249"/>
      <c r="H25" s="250"/>
      <c r="I25" s="512"/>
    </row>
    <row r="26" spans="1:23" s="51" customFormat="1" ht="15" customHeight="1" x14ac:dyDescent="0.25">
      <c r="A26" s="490"/>
      <c r="B26" s="490"/>
      <c r="C26" s="502"/>
      <c r="D26" s="504"/>
      <c r="E26" s="455"/>
      <c r="F26" s="248">
        <f t="shared" si="2"/>
        <v>0</v>
      </c>
      <c r="G26" s="249"/>
      <c r="H26" s="250"/>
      <c r="I26" s="453"/>
    </row>
    <row r="27" spans="1:23" s="51" customFormat="1" ht="15" customHeight="1" thickBot="1" x14ac:dyDescent="0.3">
      <c r="A27" s="491"/>
      <c r="B27" s="503"/>
      <c r="C27" s="505"/>
      <c r="D27" s="506"/>
      <c r="E27" s="456"/>
      <c r="F27" s="457">
        <f t="shared" si="2"/>
        <v>0</v>
      </c>
      <c r="G27" s="337"/>
      <c r="H27" s="260"/>
      <c r="I27" s="454"/>
    </row>
    <row r="28" spans="1:23" s="51" customFormat="1" ht="15" customHeight="1" thickBot="1" x14ac:dyDescent="0.3">
      <c r="A28" s="251"/>
      <c r="B28" s="252" t="s">
        <v>110</v>
      </c>
      <c r="C28" s="253">
        <f>SUM(C10,C12:C22,C24:C25)+(C23/2)</f>
        <v>0</v>
      </c>
      <c r="D28" s="254"/>
      <c r="E28" s="255">
        <f>SUM(E10:E27)</f>
        <v>0</v>
      </c>
      <c r="F28" s="256">
        <f>SUM(F10:F27)</f>
        <v>0</v>
      </c>
      <c r="G28" s="257"/>
      <c r="H28" s="258"/>
      <c r="I28" s="259"/>
    </row>
    <row r="29" spans="1:23" s="51" customFormat="1" ht="15" customHeight="1" outlineLevel="1" thickBot="1" x14ac:dyDescent="0.3">
      <c r="A29" s="287"/>
      <c r="B29" s="288" t="s">
        <v>193</v>
      </c>
      <c r="C29" s="289"/>
      <c r="D29" s="290"/>
      <c r="E29" s="291"/>
      <c r="F29" s="292"/>
      <c r="G29" s="293"/>
      <c r="H29" s="294"/>
      <c r="I29" s="295"/>
    </row>
    <row r="30" spans="1:23" s="51" customFormat="1" ht="15" customHeight="1" outlineLevel="1" x14ac:dyDescent="0.25">
      <c r="A30" s="296"/>
      <c r="B30" s="616" t="s">
        <v>192</v>
      </c>
      <c r="C30" s="297"/>
      <c r="D30" s="298"/>
      <c r="E30" s="299"/>
      <c r="F30" s="300"/>
      <c r="G30" s="301"/>
      <c r="H30" s="302"/>
      <c r="I30" s="303"/>
    </row>
    <row r="31" spans="1:23" s="51" customFormat="1" ht="15" customHeight="1" outlineLevel="1" x14ac:dyDescent="0.25">
      <c r="A31" s="272"/>
      <c r="B31" s="615" t="s">
        <v>187</v>
      </c>
      <c r="C31" s="304"/>
      <c r="D31" s="275"/>
      <c r="E31" s="276"/>
      <c r="F31" s="285"/>
      <c r="G31" s="286"/>
      <c r="H31" s="279"/>
      <c r="I31" s="280"/>
      <c r="T31" s="653" t="s">
        <v>301</v>
      </c>
      <c r="U31" s="653" t="s">
        <v>298</v>
      </c>
      <c r="V31" s="338" t="s">
        <v>199</v>
      </c>
      <c r="W31" s="338" t="s">
        <v>201</v>
      </c>
    </row>
    <row r="32" spans="1:23" s="51" customFormat="1" ht="15" customHeight="1" outlineLevel="1" x14ac:dyDescent="0.25">
      <c r="A32" s="305" t="s">
        <v>199</v>
      </c>
      <c r="B32" s="305" t="s">
        <v>298</v>
      </c>
      <c r="C32" s="306" t="s">
        <v>200</v>
      </c>
      <c r="D32" s="275"/>
      <c r="E32" s="276"/>
      <c r="F32" s="285"/>
      <c r="G32" s="286"/>
      <c r="H32" s="279"/>
      <c r="I32" s="280"/>
      <c r="K32" s="126"/>
      <c r="T32" s="654">
        <v>0.9</v>
      </c>
      <c r="U32" s="653" t="s">
        <v>299</v>
      </c>
      <c r="V32" s="339">
        <v>10</v>
      </c>
      <c r="W32" s="338">
        <v>0</v>
      </c>
    </row>
    <row r="33" spans="1:23" s="51" customFormat="1" ht="15" customHeight="1" outlineLevel="1" x14ac:dyDescent="0.25">
      <c r="A33" s="534">
        <v>10</v>
      </c>
      <c r="B33" s="507" t="s">
        <v>300</v>
      </c>
      <c r="C33" s="507">
        <v>50</v>
      </c>
      <c r="D33" s="275"/>
      <c r="E33" s="276"/>
      <c r="F33" s="285"/>
      <c r="G33" s="286"/>
      <c r="H33" s="279"/>
      <c r="I33" s="280"/>
      <c r="T33" s="654">
        <v>1.18</v>
      </c>
      <c r="U33" s="653" t="s">
        <v>300</v>
      </c>
      <c r="V33" s="339">
        <v>12</v>
      </c>
      <c r="W33" s="339">
        <v>10</v>
      </c>
    </row>
    <row r="34" spans="1:23" s="51" customFormat="1" ht="15" customHeight="1" outlineLevel="1" x14ac:dyDescent="0.25">
      <c r="A34" s="537">
        <v>45973</v>
      </c>
      <c r="B34" s="462" t="str">
        <f>IF($B$33="Standard","AEI Firetec Standard 2C1.5mm Fixed to Fabric","AEI Firetec Enhanced 2C1.5mm Fixed to Fabric")</f>
        <v>AEI Firetec Enhanced 2C1.5mm Fixed to Fabric</v>
      </c>
      <c r="C34" s="274">
        <f>(C28*A33)-C35</f>
        <v>0</v>
      </c>
      <c r="D34" s="275">
        <v>0.08</v>
      </c>
      <c r="E34" s="276">
        <f>C34*D34</f>
        <v>0</v>
      </c>
      <c r="F34" s="277">
        <f>E34*$F$5</f>
        <v>0</v>
      </c>
      <c r="G34" s="278">
        <f>IF($B$33="Standard",T32,T33)</f>
        <v>1.18</v>
      </c>
      <c r="H34" s="279">
        <f>C34*G34</f>
        <v>0</v>
      </c>
      <c r="I34" s="280" t="s">
        <v>223</v>
      </c>
      <c r="V34" s="339">
        <v>15</v>
      </c>
      <c r="W34" s="339">
        <v>20</v>
      </c>
    </row>
    <row r="35" spans="1:23" s="51" customFormat="1" ht="15" customHeight="1" outlineLevel="1" x14ac:dyDescent="0.25">
      <c r="A35" s="537">
        <v>45973</v>
      </c>
      <c r="B35" s="462" t="str">
        <f>IF($B$33="Standard","AEI Firetec Standard 2C1.5mm Fixed to Tray/Basket","AEI Firetec Enhanced 2C1.5mm Fixed to Tray/Basket")</f>
        <v>AEI Firetec Enhanced 2C1.5mm Fixed to Tray/Basket</v>
      </c>
      <c r="C35" s="282">
        <f>(C28*A33)*C33/100</f>
        <v>0</v>
      </c>
      <c r="D35" s="283">
        <v>0.04</v>
      </c>
      <c r="E35" s="276">
        <f t="shared" ref="E35:E37" si="3">C35*D35</f>
        <v>0</v>
      </c>
      <c r="F35" s="277">
        <f t="shared" ref="F35:F37" si="4">E35*$F$5</f>
        <v>0</v>
      </c>
      <c r="G35" s="284">
        <f>$G$34</f>
        <v>1.18</v>
      </c>
      <c r="H35" s="279">
        <f>C35*G35</f>
        <v>0</v>
      </c>
      <c r="I35" s="280" t="s">
        <v>223</v>
      </c>
      <c r="V35" s="339">
        <v>20</v>
      </c>
      <c r="W35" s="339">
        <v>30</v>
      </c>
    </row>
    <row r="36" spans="1:23" s="51" customFormat="1" ht="15" customHeight="1" outlineLevel="1" x14ac:dyDescent="0.25">
      <c r="A36" s="537">
        <v>45973</v>
      </c>
      <c r="B36" s="462" t="str">
        <f>IF($B$33="Standard","AEI Firetec Standard 2C1.5mm Loop Feeds","AEI Firetec Enhanced 2C1.5mm Loop Feeds")</f>
        <v>AEI Firetec Enhanced 2C1.5mm Loop Feeds</v>
      </c>
      <c r="C36" s="274">
        <f>((C34+C35+C37)*2/100)*C11</f>
        <v>0</v>
      </c>
      <c r="D36" s="275">
        <v>0.08</v>
      </c>
      <c r="E36" s="276">
        <f t="shared" si="3"/>
        <v>0</v>
      </c>
      <c r="F36" s="277">
        <f t="shared" si="4"/>
        <v>0</v>
      </c>
      <c r="G36" s="284">
        <f t="shared" ref="G36" si="5">$G$34</f>
        <v>1.18</v>
      </c>
      <c r="H36" s="279">
        <f>C36*G36</f>
        <v>0</v>
      </c>
      <c r="I36" s="280" t="s">
        <v>223</v>
      </c>
      <c r="L36" s="170"/>
      <c r="V36" s="339">
        <v>25</v>
      </c>
      <c r="W36" s="339">
        <v>40</v>
      </c>
    </row>
    <row r="37" spans="1:23" s="51" customFormat="1" ht="15" customHeight="1" outlineLevel="1" thickBot="1" x14ac:dyDescent="0.3">
      <c r="A37" s="538"/>
      <c r="B37" s="538" t="s">
        <v>195</v>
      </c>
      <c r="C37" s="539">
        <v>0</v>
      </c>
      <c r="D37" s="539">
        <v>0.08</v>
      </c>
      <c r="E37" s="270">
        <f t="shared" si="3"/>
        <v>0</v>
      </c>
      <c r="F37" s="271">
        <f t="shared" si="4"/>
        <v>0</v>
      </c>
      <c r="G37" s="540">
        <v>1.18</v>
      </c>
      <c r="H37" s="542">
        <f>C37*G37</f>
        <v>0</v>
      </c>
      <c r="I37" s="541"/>
      <c r="L37" s="170"/>
      <c r="V37" s="340">
        <v>30</v>
      </c>
      <c r="W37" s="339">
        <v>50</v>
      </c>
    </row>
    <row r="38" spans="1:23" s="51" customFormat="1" ht="15" customHeight="1" outlineLevel="1" thickBot="1" x14ac:dyDescent="0.3">
      <c r="A38" s="613"/>
      <c r="B38" s="655" t="str">
        <f>IF($B$33="Standard","TOTAL CABLE (Standard 2 Core 1.5 Loop Cable)","TOTAL CABLE (Enhanced 2 Core 1.5 Loop Cable)")</f>
        <v>TOTAL CABLE (Enhanced 2 Core 1.5 Loop Cable)</v>
      </c>
      <c r="C38" s="262">
        <f>CEILING(SUM(C34:C37),100)</f>
        <v>0</v>
      </c>
      <c r="D38" s="263"/>
      <c r="E38" s="264">
        <f>SUM(E34:E37)</f>
        <v>0</v>
      </c>
      <c r="F38" s="265">
        <f>E38*$F$5</f>
        <v>0</v>
      </c>
      <c r="G38" s="266"/>
      <c r="H38" s="267">
        <f>C38*G37</f>
        <v>0</v>
      </c>
      <c r="I38" s="268" t="s">
        <v>203</v>
      </c>
      <c r="J38" s="126"/>
      <c r="L38" s="170"/>
      <c r="V38" s="340">
        <v>50</v>
      </c>
      <c r="W38" s="339">
        <v>60</v>
      </c>
    </row>
    <row r="39" spans="1:23" s="51" customFormat="1" ht="15" customHeight="1" outlineLevel="1" x14ac:dyDescent="0.25">
      <c r="A39" s="543">
        <v>45973</v>
      </c>
      <c r="B39" s="281" t="s">
        <v>353</v>
      </c>
      <c r="C39" s="544">
        <v>0</v>
      </c>
      <c r="D39" s="283">
        <v>0.1</v>
      </c>
      <c r="E39" s="308">
        <f t="shared" ref="E39:E41" si="6">C39*D39</f>
        <v>0</v>
      </c>
      <c r="F39" s="309">
        <f t="shared" ref="F39:F41" si="7">E39*$F$5</f>
        <v>0</v>
      </c>
      <c r="G39" s="548">
        <v>2.25</v>
      </c>
      <c r="H39" s="284">
        <f t="shared" ref="H39:H41" si="8">C39*G39</f>
        <v>0</v>
      </c>
      <c r="I39" s="311"/>
      <c r="L39" s="170"/>
      <c r="V39" s="340">
        <v>35</v>
      </c>
      <c r="W39" s="339">
        <v>90</v>
      </c>
    </row>
    <row r="40" spans="1:23" s="51" customFormat="1" ht="15" customHeight="1" outlineLevel="1" x14ac:dyDescent="0.25">
      <c r="A40" s="537">
        <v>45973</v>
      </c>
      <c r="B40" s="458" t="s">
        <v>354</v>
      </c>
      <c r="C40" s="545">
        <v>0</v>
      </c>
      <c r="D40" s="312">
        <v>0.08</v>
      </c>
      <c r="E40" s="313">
        <f t="shared" si="6"/>
        <v>0</v>
      </c>
      <c r="F40" s="314">
        <f t="shared" si="7"/>
        <v>0</v>
      </c>
      <c r="G40" s="284">
        <f>G39</f>
        <v>2.25</v>
      </c>
      <c r="H40" s="284">
        <f t="shared" si="8"/>
        <v>0</v>
      </c>
      <c r="I40" s="315"/>
      <c r="L40" s="170"/>
      <c r="V40" s="340">
        <v>40</v>
      </c>
      <c r="W40" s="339">
        <v>70</v>
      </c>
    </row>
    <row r="41" spans="1:23" s="51" customFormat="1" ht="15" customHeight="1" outlineLevel="1" thickBot="1" x14ac:dyDescent="0.3">
      <c r="A41" s="550">
        <v>45973</v>
      </c>
      <c r="B41" s="459" t="s">
        <v>355</v>
      </c>
      <c r="C41" s="539">
        <v>0</v>
      </c>
      <c r="D41" s="316">
        <v>0.06</v>
      </c>
      <c r="E41" s="270">
        <f t="shared" si="6"/>
        <v>0</v>
      </c>
      <c r="F41" s="271">
        <f t="shared" si="7"/>
        <v>0</v>
      </c>
      <c r="G41" s="317">
        <f>$G$39</f>
        <v>2.25</v>
      </c>
      <c r="H41" s="269">
        <f t="shared" si="8"/>
        <v>0</v>
      </c>
      <c r="I41" s="318"/>
      <c r="L41" s="170"/>
      <c r="V41" s="341"/>
      <c r="W41" s="339">
        <v>80</v>
      </c>
    </row>
    <row r="42" spans="1:23" s="51" customFormat="1" ht="15" customHeight="1" outlineLevel="1" thickBot="1" x14ac:dyDescent="0.3">
      <c r="A42" s="613"/>
      <c r="B42" s="261" t="s">
        <v>214</v>
      </c>
      <c r="C42" s="262">
        <f>CEILING(SUM(C39:C41),10)</f>
        <v>0</v>
      </c>
      <c r="D42" s="319"/>
      <c r="E42" s="320">
        <f>SUM(E39:E41)</f>
        <v>0</v>
      </c>
      <c r="F42" s="265">
        <f>E42*$F$5</f>
        <v>0</v>
      </c>
      <c r="G42" s="321"/>
      <c r="H42" s="267">
        <f>C42*G39</f>
        <v>0</v>
      </c>
      <c r="I42" s="268" t="s">
        <v>267</v>
      </c>
      <c r="J42" s="126"/>
      <c r="L42" s="170"/>
      <c r="V42" s="341"/>
      <c r="W42" s="339">
        <v>90</v>
      </c>
    </row>
    <row r="43" spans="1:23" s="51" customFormat="1" ht="15" customHeight="1" outlineLevel="1" x14ac:dyDescent="0.25">
      <c r="A43" s="543">
        <v>46161</v>
      </c>
      <c r="B43" s="458" t="s">
        <v>359</v>
      </c>
      <c r="C43" s="544">
        <v>0</v>
      </c>
      <c r="D43" s="283">
        <v>0.1</v>
      </c>
      <c r="E43" s="308">
        <f t="shared" ref="E43:E44" si="9">C43*D43</f>
        <v>0</v>
      </c>
      <c r="F43" s="309">
        <f t="shared" ref="F43:F44" si="10">E43*$F$5</f>
        <v>0</v>
      </c>
      <c r="G43" s="548">
        <v>4.7</v>
      </c>
      <c r="H43" s="322">
        <f>C43*G43</f>
        <v>0</v>
      </c>
      <c r="I43" s="311"/>
      <c r="J43" s="126"/>
      <c r="L43" s="170"/>
      <c r="V43" s="341"/>
      <c r="W43" s="339">
        <v>100</v>
      </c>
    </row>
    <row r="44" spans="1:23" s="51" customFormat="1" ht="15" customHeight="1" outlineLevel="1" x14ac:dyDescent="0.25">
      <c r="A44" s="537">
        <v>46161</v>
      </c>
      <c r="B44" s="458" t="s">
        <v>358</v>
      </c>
      <c r="C44" s="545">
        <v>0</v>
      </c>
      <c r="D44" s="312">
        <v>0.08</v>
      </c>
      <c r="E44" s="313">
        <f t="shared" si="9"/>
        <v>0</v>
      </c>
      <c r="F44" s="314">
        <f t="shared" si="10"/>
        <v>0</v>
      </c>
      <c r="G44" s="284">
        <f>$G$43</f>
        <v>4.7</v>
      </c>
      <c r="H44" s="322">
        <f>C44*G44</f>
        <v>0</v>
      </c>
      <c r="I44" s="315"/>
      <c r="J44" s="126"/>
      <c r="L44" s="170"/>
      <c r="V44" s="341"/>
    </row>
    <row r="45" spans="1:23" s="51" customFormat="1" ht="15" customHeight="1" outlineLevel="1" thickBot="1" x14ac:dyDescent="0.3">
      <c r="A45" s="538">
        <v>46161</v>
      </c>
      <c r="B45" s="459" t="s">
        <v>357</v>
      </c>
      <c r="C45" s="539">
        <v>0</v>
      </c>
      <c r="D45" s="316">
        <v>0.06</v>
      </c>
      <c r="E45" s="270">
        <f t="shared" ref="E45" si="11">C45*D45</f>
        <v>0</v>
      </c>
      <c r="F45" s="271">
        <f t="shared" ref="F45" si="12">E45*$F$5</f>
        <v>0</v>
      </c>
      <c r="G45" s="317">
        <f>$G$43</f>
        <v>4.7</v>
      </c>
      <c r="H45" s="269">
        <f>C45*G45</f>
        <v>0</v>
      </c>
      <c r="I45" s="318"/>
      <c r="J45" s="126"/>
      <c r="L45" s="170"/>
    </row>
    <row r="46" spans="1:23" s="51" customFormat="1" ht="15" customHeight="1" outlineLevel="1" thickBot="1" x14ac:dyDescent="0.3">
      <c r="A46" s="536"/>
      <c r="B46" s="460" t="s">
        <v>356</v>
      </c>
      <c r="C46" s="262">
        <f>CEILING(SUM(C43:C45),10)</f>
        <v>0</v>
      </c>
      <c r="D46" s="319"/>
      <c r="E46" s="320">
        <f>SUM(E43:E45)</f>
        <v>0</v>
      </c>
      <c r="F46" s="265">
        <f>E46*$F$5</f>
        <v>0</v>
      </c>
      <c r="G46" s="321"/>
      <c r="H46" s="267">
        <f>C46*G43</f>
        <v>0</v>
      </c>
      <c r="I46" s="268" t="s">
        <v>267</v>
      </c>
      <c r="J46" s="126"/>
      <c r="L46" s="170"/>
    </row>
    <row r="47" spans="1:23" s="51" customFormat="1" ht="15" customHeight="1" outlineLevel="1" x14ac:dyDescent="0.25">
      <c r="A47" s="535"/>
      <c r="B47" s="614" t="s">
        <v>204</v>
      </c>
      <c r="C47" s="461"/>
      <c r="D47" s="323"/>
      <c r="E47" s="324"/>
      <c r="F47" s="325"/>
      <c r="G47" s="310"/>
      <c r="H47" s="326"/>
      <c r="I47" s="311"/>
      <c r="L47" s="170"/>
    </row>
    <row r="48" spans="1:23" s="51" customFormat="1" ht="15" customHeight="1" outlineLevel="1" x14ac:dyDescent="0.25">
      <c r="A48" s="537">
        <v>45429</v>
      </c>
      <c r="B48" s="462" t="s">
        <v>196</v>
      </c>
      <c r="C48" s="546">
        <v>0</v>
      </c>
      <c r="D48" s="275">
        <v>0.08</v>
      </c>
      <c r="E48" s="276">
        <f t="shared" ref="E48:E53" si="13">C48*D48</f>
        <v>0</v>
      </c>
      <c r="F48" s="277">
        <f t="shared" ref="F48:F53" si="14">E48*$F$5</f>
        <v>0</v>
      </c>
      <c r="G48" s="549">
        <v>2.95</v>
      </c>
      <c r="H48" s="279">
        <f>C48*G48</f>
        <v>0</v>
      </c>
      <c r="I48" s="311"/>
      <c r="L48" s="170"/>
    </row>
    <row r="49" spans="1:12" s="51" customFormat="1" ht="15" customHeight="1" outlineLevel="1" thickBot="1" x14ac:dyDescent="0.3">
      <c r="A49" s="538">
        <v>45429</v>
      </c>
      <c r="B49" s="459" t="s">
        <v>197</v>
      </c>
      <c r="C49" s="539">
        <v>0</v>
      </c>
      <c r="D49" s="316">
        <v>0.06</v>
      </c>
      <c r="E49" s="270">
        <f t="shared" si="13"/>
        <v>0</v>
      </c>
      <c r="F49" s="271">
        <f t="shared" si="14"/>
        <v>0</v>
      </c>
      <c r="G49" s="317">
        <f>$G$48</f>
        <v>2.95</v>
      </c>
      <c r="H49" s="269">
        <f>C49*G49</f>
        <v>0</v>
      </c>
      <c r="I49" s="315" t="s">
        <v>223</v>
      </c>
      <c r="L49" s="170"/>
    </row>
    <row r="50" spans="1:12" s="51" customFormat="1" ht="15" customHeight="1" outlineLevel="1" thickBot="1" x14ac:dyDescent="0.3">
      <c r="A50" s="536"/>
      <c r="B50" s="460" t="s">
        <v>216</v>
      </c>
      <c r="C50" s="336">
        <f>CEILING(SUM(C48:C49),100)</f>
        <v>0</v>
      </c>
      <c r="D50" s="263"/>
      <c r="E50" s="264">
        <f>SUM(E48:E49)</f>
        <v>0</v>
      </c>
      <c r="F50" s="265">
        <f>E50*$F$5</f>
        <v>0</v>
      </c>
      <c r="G50" s="266"/>
      <c r="H50" s="267">
        <f>C50*G48</f>
        <v>0</v>
      </c>
      <c r="I50" s="268" t="s">
        <v>203</v>
      </c>
      <c r="L50" s="170"/>
    </row>
    <row r="51" spans="1:12" s="51" customFormat="1" ht="15" customHeight="1" outlineLevel="1" x14ac:dyDescent="0.25">
      <c r="A51" s="543">
        <v>45429</v>
      </c>
      <c r="B51" s="458" t="s">
        <v>217</v>
      </c>
      <c r="C51" s="544">
        <v>0</v>
      </c>
      <c r="D51" s="283">
        <v>0.1</v>
      </c>
      <c r="E51" s="308">
        <f t="shared" si="13"/>
        <v>0</v>
      </c>
      <c r="F51" s="309">
        <f t="shared" si="14"/>
        <v>0</v>
      </c>
      <c r="G51" s="548">
        <v>2.4500000000000002</v>
      </c>
      <c r="H51" s="322">
        <f>C51*G51</f>
        <v>0</v>
      </c>
      <c r="I51" s="327"/>
      <c r="L51" s="170"/>
    </row>
    <row r="52" spans="1:12" s="51" customFormat="1" ht="15" customHeight="1" outlineLevel="1" x14ac:dyDescent="0.25">
      <c r="A52" s="537">
        <v>45429</v>
      </c>
      <c r="B52" s="462" t="s">
        <v>282</v>
      </c>
      <c r="C52" s="546">
        <v>0</v>
      </c>
      <c r="D52" s="275">
        <v>0.08</v>
      </c>
      <c r="E52" s="276">
        <f t="shared" si="13"/>
        <v>0</v>
      </c>
      <c r="F52" s="277">
        <f t="shared" si="14"/>
        <v>0</v>
      </c>
      <c r="G52" s="286">
        <f>$G$51</f>
        <v>2.4500000000000002</v>
      </c>
      <c r="H52" s="279">
        <f>C52*G52</f>
        <v>0</v>
      </c>
      <c r="I52" s="327" t="s">
        <v>223</v>
      </c>
      <c r="L52" s="170"/>
    </row>
    <row r="53" spans="1:12" s="51" customFormat="1" ht="15" customHeight="1" outlineLevel="1" thickBot="1" x14ac:dyDescent="0.3">
      <c r="A53" s="538">
        <v>45429</v>
      </c>
      <c r="B53" s="459" t="s">
        <v>218</v>
      </c>
      <c r="C53" s="539">
        <v>0</v>
      </c>
      <c r="D53" s="316">
        <v>0.06</v>
      </c>
      <c r="E53" s="270">
        <f t="shared" si="13"/>
        <v>0</v>
      </c>
      <c r="F53" s="271">
        <f t="shared" si="14"/>
        <v>0</v>
      </c>
      <c r="G53" s="317">
        <f>$G$51</f>
        <v>2.4500000000000002</v>
      </c>
      <c r="H53" s="269">
        <f>C53*G53</f>
        <v>0</v>
      </c>
      <c r="I53" s="328"/>
      <c r="L53" s="170"/>
    </row>
    <row r="54" spans="1:12" s="51" customFormat="1" ht="15" customHeight="1" outlineLevel="1" thickBot="1" x14ac:dyDescent="0.3">
      <c r="A54" s="536"/>
      <c r="B54" s="460" t="s">
        <v>215</v>
      </c>
      <c r="C54" s="336">
        <f>CEILING(SUM(C51:C53),10)</f>
        <v>0</v>
      </c>
      <c r="D54" s="263"/>
      <c r="E54" s="264">
        <f>SUM(E51:E53)</f>
        <v>0</v>
      </c>
      <c r="F54" s="329">
        <f>SUM(F51:F53)</f>
        <v>0</v>
      </c>
      <c r="G54" s="266"/>
      <c r="H54" s="267">
        <f>C54*G51</f>
        <v>0</v>
      </c>
      <c r="I54" s="268" t="s">
        <v>267</v>
      </c>
      <c r="L54" s="170"/>
    </row>
    <row r="55" spans="1:12" s="51" customFormat="1" ht="15" customHeight="1" outlineLevel="1" x14ac:dyDescent="0.25">
      <c r="A55" s="543" t="s">
        <v>302</v>
      </c>
      <c r="B55" s="458" t="s">
        <v>268</v>
      </c>
      <c r="C55" s="544">
        <v>0</v>
      </c>
      <c r="D55" s="283">
        <v>0.1</v>
      </c>
      <c r="E55" s="308">
        <f t="shared" ref="E55:E57" si="15">C55*D55</f>
        <v>0</v>
      </c>
      <c r="F55" s="309">
        <f t="shared" ref="F55:F57" si="16">E55*$F$5</f>
        <v>0</v>
      </c>
      <c r="G55" s="548">
        <v>2.99</v>
      </c>
      <c r="H55" s="322">
        <f>C55*G55</f>
        <v>0</v>
      </c>
      <c r="I55" s="544"/>
      <c r="L55" s="170"/>
    </row>
    <row r="56" spans="1:12" s="51" customFormat="1" ht="15" customHeight="1" outlineLevel="1" x14ac:dyDescent="0.25">
      <c r="A56" s="537" t="s">
        <v>302</v>
      </c>
      <c r="B56" s="462" t="s">
        <v>271</v>
      </c>
      <c r="C56" s="546">
        <v>0</v>
      </c>
      <c r="D56" s="275">
        <v>0.08</v>
      </c>
      <c r="E56" s="276">
        <f t="shared" si="15"/>
        <v>0</v>
      </c>
      <c r="F56" s="277">
        <f t="shared" si="16"/>
        <v>0</v>
      </c>
      <c r="G56" s="286">
        <f>$G$55</f>
        <v>2.99</v>
      </c>
      <c r="H56" s="279">
        <f>C56*G56</f>
        <v>0</v>
      </c>
      <c r="I56" s="546"/>
      <c r="L56" s="170"/>
    </row>
    <row r="57" spans="1:12" s="51" customFormat="1" ht="15" customHeight="1" outlineLevel="1" thickBot="1" x14ac:dyDescent="0.3">
      <c r="A57" s="538" t="s">
        <v>302</v>
      </c>
      <c r="B57" s="459" t="s">
        <v>269</v>
      </c>
      <c r="C57" s="539">
        <v>0</v>
      </c>
      <c r="D57" s="316">
        <v>0.06</v>
      </c>
      <c r="E57" s="270">
        <f t="shared" si="15"/>
        <v>0</v>
      </c>
      <c r="F57" s="271">
        <f t="shared" si="16"/>
        <v>0</v>
      </c>
      <c r="G57" s="317">
        <f>$G$55</f>
        <v>2.99</v>
      </c>
      <c r="H57" s="269">
        <f>C57*G57</f>
        <v>0</v>
      </c>
      <c r="I57" s="539"/>
      <c r="L57" s="170"/>
    </row>
    <row r="58" spans="1:12" s="51" customFormat="1" ht="15" customHeight="1" outlineLevel="1" thickBot="1" x14ac:dyDescent="0.3">
      <c r="A58" s="536"/>
      <c r="B58" s="460" t="s">
        <v>215</v>
      </c>
      <c r="C58" s="336">
        <f>CEILING(SUM(C55:C57),10)</f>
        <v>0</v>
      </c>
      <c r="D58" s="263"/>
      <c r="E58" s="264">
        <f>SUM(E55:E57)</f>
        <v>0</v>
      </c>
      <c r="F58" s="329">
        <f>SUM(F55:F57)</f>
        <v>0</v>
      </c>
      <c r="G58" s="266"/>
      <c r="H58" s="267">
        <f>C58*G55</f>
        <v>0</v>
      </c>
      <c r="I58" s="268" t="s">
        <v>267</v>
      </c>
      <c r="L58" s="170"/>
    </row>
    <row r="59" spans="1:12" s="51" customFormat="1" ht="15" customHeight="1" outlineLevel="1" x14ac:dyDescent="0.25">
      <c r="A59" s="535"/>
      <c r="B59" s="617" t="s">
        <v>270</v>
      </c>
      <c r="C59" s="273"/>
      <c r="D59" s="276"/>
      <c r="E59" s="276"/>
      <c r="F59" s="330"/>
      <c r="G59" s="279"/>
      <c r="H59" s="279"/>
      <c r="I59" s="544"/>
      <c r="L59" s="170"/>
    </row>
    <row r="60" spans="1:12" s="51" customFormat="1" ht="15" customHeight="1" outlineLevel="1" x14ac:dyDescent="0.25">
      <c r="A60" s="537" t="s">
        <v>302</v>
      </c>
      <c r="B60" s="462" t="s">
        <v>210</v>
      </c>
      <c r="C60" s="546">
        <v>0</v>
      </c>
      <c r="D60" s="275">
        <v>0.1</v>
      </c>
      <c r="E60" s="276">
        <f t="shared" ref="E60:E61" si="17">C60*D60</f>
        <v>0</v>
      </c>
      <c r="F60" s="277">
        <f t="shared" ref="F60:F64" si="18">E60*$F$5</f>
        <v>0</v>
      </c>
      <c r="G60" s="547">
        <v>3.2504000000000004</v>
      </c>
      <c r="H60" s="279">
        <f t="shared" ref="H60:H64" si="19">C60*G60</f>
        <v>0</v>
      </c>
      <c r="I60" s="546"/>
      <c r="L60" s="170"/>
    </row>
    <row r="61" spans="1:12" s="51" customFormat="1" ht="15" customHeight="1" outlineLevel="1" thickBot="1" x14ac:dyDescent="0.3">
      <c r="A61" s="538" t="s">
        <v>302</v>
      </c>
      <c r="B61" s="459" t="s">
        <v>272</v>
      </c>
      <c r="C61" s="539">
        <v>0</v>
      </c>
      <c r="D61" s="316">
        <v>0.8</v>
      </c>
      <c r="E61" s="276">
        <f t="shared" si="17"/>
        <v>0</v>
      </c>
      <c r="F61" s="271">
        <f t="shared" si="18"/>
        <v>0</v>
      </c>
      <c r="G61" s="317">
        <f>$G$60</f>
        <v>3.2504000000000004</v>
      </c>
      <c r="H61" s="269">
        <f t="shared" si="19"/>
        <v>0</v>
      </c>
      <c r="I61" s="539"/>
      <c r="L61" s="170"/>
    </row>
    <row r="62" spans="1:12" s="51" customFormat="1" ht="15" customHeight="1" outlineLevel="1" thickBot="1" x14ac:dyDescent="0.3">
      <c r="A62" s="536"/>
      <c r="B62" s="460" t="s">
        <v>220</v>
      </c>
      <c r="C62" s="336">
        <f>CEILING(SUM(C60:C61),100)</f>
        <v>0</v>
      </c>
      <c r="D62" s="263"/>
      <c r="E62" s="264">
        <f>SUM(E60:E61)</f>
        <v>0</v>
      </c>
      <c r="F62" s="329">
        <f>SUM(F60:F61)</f>
        <v>0</v>
      </c>
      <c r="G62" s="266"/>
      <c r="H62" s="267">
        <f>C62*G60</f>
        <v>0</v>
      </c>
      <c r="I62" s="268" t="s">
        <v>203</v>
      </c>
      <c r="L62" s="170"/>
    </row>
    <row r="63" spans="1:12" s="51" customFormat="1" ht="15" customHeight="1" outlineLevel="1" x14ac:dyDescent="0.25">
      <c r="A63" s="543" t="s">
        <v>302</v>
      </c>
      <c r="B63" s="458" t="s">
        <v>211</v>
      </c>
      <c r="C63" s="544">
        <v>0</v>
      </c>
      <c r="D63" s="283">
        <v>0.1</v>
      </c>
      <c r="E63" s="276">
        <f t="shared" ref="E63:E64" si="20">C63*D63</f>
        <v>0</v>
      </c>
      <c r="F63" s="309">
        <f t="shared" si="18"/>
        <v>0</v>
      </c>
      <c r="G63" s="547">
        <v>5.95</v>
      </c>
      <c r="H63" s="322">
        <f t="shared" si="19"/>
        <v>0</v>
      </c>
      <c r="I63" s="544"/>
      <c r="L63" s="170"/>
    </row>
    <row r="64" spans="1:12" s="51" customFormat="1" ht="15" customHeight="1" outlineLevel="1" thickBot="1" x14ac:dyDescent="0.3">
      <c r="A64" s="538" t="s">
        <v>302</v>
      </c>
      <c r="B64" s="459" t="s">
        <v>219</v>
      </c>
      <c r="C64" s="539">
        <v>0</v>
      </c>
      <c r="D64" s="316">
        <v>0.08</v>
      </c>
      <c r="E64" s="276">
        <f t="shared" si="20"/>
        <v>0</v>
      </c>
      <c r="F64" s="271">
        <f t="shared" si="18"/>
        <v>0</v>
      </c>
      <c r="G64" s="317">
        <f>$G$63</f>
        <v>5.95</v>
      </c>
      <c r="H64" s="269">
        <f t="shared" si="19"/>
        <v>0</v>
      </c>
      <c r="I64" s="539"/>
      <c r="L64" s="170"/>
    </row>
    <row r="65" spans="1:23" s="51" customFormat="1" ht="15" customHeight="1" outlineLevel="1" thickBot="1" x14ac:dyDescent="0.3">
      <c r="A65" s="536"/>
      <c r="B65" s="460" t="s">
        <v>221</v>
      </c>
      <c r="C65" s="336">
        <f>CEILING(SUM(C63:C64),100)</f>
        <v>0</v>
      </c>
      <c r="D65" s="263"/>
      <c r="E65" s="264">
        <f>SUM(E63:E64)</f>
        <v>0</v>
      </c>
      <c r="F65" s="329">
        <f>SUM(F63:F64)</f>
        <v>0</v>
      </c>
      <c r="G65" s="266"/>
      <c r="H65" s="267">
        <f>C65*G63</f>
        <v>0</v>
      </c>
      <c r="I65" s="268" t="s">
        <v>203</v>
      </c>
      <c r="L65" s="170"/>
      <c r="M65" s="127"/>
    </row>
    <row r="66" spans="1:23" s="51" customFormat="1" ht="15" customHeight="1" outlineLevel="1" x14ac:dyDescent="0.25">
      <c r="A66" s="535"/>
      <c r="B66" s="463" t="s">
        <v>212</v>
      </c>
      <c r="C66" s="335"/>
      <c r="D66" s="283"/>
      <c r="E66" s="308"/>
      <c r="F66" s="331"/>
      <c r="G66" s="284"/>
      <c r="H66" s="322"/>
      <c r="I66" s="546"/>
      <c r="L66" s="170"/>
    </row>
    <row r="67" spans="1:23" s="51" customFormat="1" ht="15" customHeight="1" outlineLevel="1" x14ac:dyDescent="0.25">
      <c r="A67" s="537" t="s">
        <v>302</v>
      </c>
      <c r="B67" s="462" t="s">
        <v>141</v>
      </c>
      <c r="C67" s="546"/>
      <c r="D67" s="275">
        <v>5</v>
      </c>
      <c r="E67" s="276">
        <f t="shared" ref="E67:E75" si="21">C67*D67</f>
        <v>0</v>
      </c>
      <c r="F67" s="277">
        <f t="shared" ref="F67:F75" si="22">E67*$F$5</f>
        <v>0</v>
      </c>
      <c r="G67" s="555">
        <v>320.28000000000003</v>
      </c>
      <c r="H67" s="279">
        <f t="shared" ref="H67:H75" si="23">C67*G67</f>
        <v>0</v>
      </c>
      <c r="I67" s="546"/>
      <c r="L67" s="170"/>
    </row>
    <row r="68" spans="1:23" s="51" customFormat="1" ht="15" customHeight="1" outlineLevel="1" x14ac:dyDescent="0.25">
      <c r="A68" s="537" t="s">
        <v>302</v>
      </c>
      <c r="B68" s="462" t="s">
        <v>142</v>
      </c>
      <c r="C68" s="546"/>
      <c r="D68" s="275">
        <v>7</v>
      </c>
      <c r="E68" s="276">
        <f t="shared" si="21"/>
        <v>0</v>
      </c>
      <c r="F68" s="277">
        <f t="shared" si="22"/>
        <v>0</v>
      </c>
      <c r="G68" s="555">
        <v>320.28000000000003</v>
      </c>
      <c r="H68" s="279">
        <f t="shared" si="23"/>
        <v>0</v>
      </c>
      <c r="I68" s="546"/>
      <c r="L68" s="170"/>
    </row>
    <row r="69" spans="1:23" s="51" customFormat="1" ht="15" customHeight="1" outlineLevel="1" x14ac:dyDescent="0.25">
      <c r="A69" s="537" t="s">
        <v>302</v>
      </c>
      <c r="B69" s="462" t="s">
        <v>213</v>
      </c>
      <c r="C69" s="546"/>
      <c r="D69" s="275"/>
      <c r="E69" s="276">
        <f t="shared" si="21"/>
        <v>0</v>
      </c>
      <c r="F69" s="277">
        <f t="shared" si="22"/>
        <v>0</v>
      </c>
      <c r="G69" s="555">
        <v>320.28000000000003</v>
      </c>
      <c r="H69" s="279">
        <f t="shared" si="23"/>
        <v>0</v>
      </c>
      <c r="I69" s="546"/>
      <c r="L69" s="170"/>
    </row>
    <row r="70" spans="1:23" s="51" customFormat="1" ht="15" customHeight="1" outlineLevel="1" x14ac:dyDescent="0.25">
      <c r="A70" s="537">
        <v>45429</v>
      </c>
      <c r="B70" s="462" t="s">
        <v>132</v>
      </c>
      <c r="C70" s="546"/>
      <c r="D70" s="275">
        <v>0.08</v>
      </c>
      <c r="E70" s="276">
        <f t="shared" si="21"/>
        <v>0</v>
      </c>
      <c r="F70" s="277">
        <f t="shared" si="22"/>
        <v>0</v>
      </c>
      <c r="G70" s="555">
        <v>0.49</v>
      </c>
      <c r="H70" s="279">
        <f>CEILING((C70),100)*G70</f>
        <v>0</v>
      </c>
      <c r="I70" s="546" t="s">
        <v>203</v>
      </c>
      <c r="L70" s="170"/>
    </row>
    <row r="71" spans="1:23" s="51" customFormat="1" ht="15" customHeight="1" outlineLevel="1" x14ac:dyDescent="0.25">
      <c r="A71" s="537">
        <v>45429</v>
      </c>
      <c r="B71" s="462" t="s">
        <v>133</v>
      </c>
      <c r="C71" s="546"/>
      <c r="D71" s="275">
        <v>0.08</v>
      </c>
      <c r="E71" s="276">
        <f t="shared" si="21"/>
        <v>0</v>
      </c>
      <c r="F71" s="277">
        <f t="shared" si="22"/>
        <v>0</v>
      </c>
      <c r="G71" s="555">
        <v>0.61</v>
      </c>
      <c r="H71" s="279">
        <f>CEILING((C71),100)*G71</f>
        <v>0</v>
      </c>
      <c r="I71" s="553" t="s">
        <v>203</v>
      </c>
      <c r="L71" s="170"/>
    </row>
    <row r="72" spans="1:23" s="51" customFormat="1" ht="15" customHeight="1" outlineLevel="1" x14ac:dyDescent="0.25">
      <c r="A72" s="537"/>
      <c r="B72" s="551"/>
      <c r="C72" s="553"/>
      <c r="D72" s="544"/>
      <c r="E72" s="276">
        <f t="shared" si="21"/>
        <v>0</v>
      </c>
      <c r="F72" s="464">
        <f t="shared" si="22"/>
        <v>0</v>
      </c>
      <c r="G72" s="551"/>
      <c r="H72" s="465">
        <f t="shared" si="23"/>
        <v>0</v>
      </c>
      <c r="I72" s="553"/>
      <c r="L72" s="170"/>
    </row>
    <row r="73" spans="1:23" s="51" customFormat="1" ht="15" customHeight="1" outlineLevel="1" x14ac:dyDescent="0.25">
      <c r="A73" s="537"/>
      <c r="B73" s="551"/>
      <c r="C73" s="553"/>
      <c r="D73" s="544"/>
      <c r="E73" s="276">
        <f t="shared" si="21"/>
        <v>0</v>
      </c>
      <c r="F73" s="464">
        <f t="shared" si="22"/>
        <v>0</v>
      </c>
      <c r="G73" s="551"/>
      <c r="H73" s="465">
        <f t="shared" si="23"/>
        <v>0</v>
      </c>
      <c r="I73" s="553"/>
      <c r="L73" s="170"/>
      <c r="W73" s="342"/>
    </row>
    <row r="74" spans="1:23" s="51" customFormat="1" ht="15" customHeight="1" outlineLevel="1" x14ac:dyDescent="0.25">
      <c r="A74" s="537"/>
      <c r="B74" s="551"/>
      <c r="C74" s="553"/>
      <c r="D74" s="544"/>
      <c r="E74" s="276">
        <f t="shared" si="21"/>
        <v>0</v>
      </c>
      <c r="F74" s="464">
        <f t="shared" si="22"/>
        <v>0</v>
      </c>
      <c r="G74" s="551"/>
      <c r="H74" s="465">
        <f t="shared" si="23"/>
        <v>0</v>
      </c>
      <c r="I74" s="554"/>
      <c r="L74" s="170"/>
      <c r="O74" s="342"/>
      <c r="P74" s="342"/>
      <c r="Q74" s="342"/>
      <c r="R74" s="342"/>
      <c r="W74" s="342"/>
    </row>
    <row r="75" spans="1:23" s="51" customFormat="1" ht="15" customHeight="1" outlineLevel="1" thickBot="1" x14ac:dyDescent="0.3">
      <c r="A75" s="550"/>
      <c r="B75" s="552"/>
      <c r="C75" s="554"/>
      <c r="D75" s="545"/>
      <c r="E75" s="270">
        <f t="shared" si="21"/>
        <v>0</v>
      </c>
      <c r="F75" s="466">
        <f t="shared" si="22"/>
        <v>0</v>
      </c>
      <c r="G75" s="552"/>
      <c r="H75" s="467">
        <f t="shared" si="23"/>
        <v>0</v>
      </c>
      <c r="I75" s="546"/>
      <c r="L75" s="170"/>
      <c r="O75" s="342"/>
      <c r="P75" s="342"/>
      <c r="Q75" s="342"/>
      <c r="R75" s="342"/>
      <c r="V75" s="342"/>
      <c r="W75" s="342"/>
    </row>
    <row r="76" spans="1:23" s="342" customFormat="1" ht="15" customHeight="1" outlineLevel="1" thickBot="1" x14ac:dyDescent="0.3">
      <c r="A76" s="492"/>
      <c r="B76" s="307" t="s">
        <v>222</v>
      </c>
      <c r="C76" s="334"/>
      <c r="D76" s="263"/>
      <c r="E76" s="264">
        <f>SUM(E67:E75)</f>
        <v>0</v>
      </c>
      <c r="F76" s="332">
        <f>SUM(F67:F75)</f>
        <v>0</v>
      </c>
      <c r="G76" s="266"/>
      <c r="H76" s="267">
        <f>SUM(H67:H75)</f>
        <v>0</v>
      </c>
      <c r="I76" s="333"/>
      <c r="L76" s="343"/>
    </row>
    <row r="77" spans="1:23" s="342" customFormat="1" ht="15" customHeight="1" outlineLevel="1" x14ac:dyDescent="0.25">
      <c r="A77" s="468"/>
      <c r="B77" s="468" t="s">
        <v>202</v>
      </c>
      <c r="C77" s="344"/>
      <c r="D77" s="345"/>
      <c r="E77" s="346"/>
      <c r="F77" s="347"/>
      <c r="G77" s="348"/>
      <c r="H77" s="349"/>
      <c r="I77" s="350"/>
      <c r="L77" s="343"/>
    </row>
    <row r="78" spans="1:23" s="342" customFormat="1" ht="15" customHeight="1" outlineLevel="1" x14ac:dyDescent="0.25">
      <c r="A78" s="469"/>
      <c r="B78" s="469" t="s">
        <v>235</v>
      </c>
      <c r="C78" s="351"/>
      <c r="D78" s="352"/>
      <c r="E78" s="353"/>
      <c r="F78" s="354"/>
      <c r="G78" s="355"/>
      <c r="H78" s="356"/>
      <c r="I78" s="357"/>
      <c r="L78" s="343"/>
    </row>
    <row r="79" spans="1:23" s="342" customFormat="1" ht="15" customHeight="1" outlineLevel="1" x14ac:dyDescent="0.25">
      <c r="A79" s="556"/>
      <c r="B79" s="470" t="s">
        <v>230</v>
      </c>
      <c r="C79" s="501"/>
      <c r="D79" s="358">
        <v>0.06</v>
      </c>
      <c r="E79" s="353">
        <f t="shared" ref="E79:E124" si="24">C79*D79</f>
        <v>0</v>
      </c>
      <c r="F79" s="359">
        <f t="shared" ref="F79:F124" si="25">E79*$F$5</f>
        <v>0</v>
      </c>
      <c r="G79" s="557">
        <v>1.0336000000000001</v>
      </c>
      <c r="H79" s="361">
        <f t="shared" ref="H79" si="26">C79*G79</f>
        <v>0</v>
      </c>
      <c r="I79" s="357"/>
      <c r="L79" s="343"/>
    </row>
    <row r="80" spans="1:23" s="342" customFormat="1" ht="15" customHeight="1" outlineLevel="1" x14ac:dyDescent="0.25">
      <c r="A80" s="556"/>
      <c r="B80" s="470" t="s">
        <v>241</v>
      </c>
      <c r="C80" s="501"/>
      <c r="D80" s="358">
        <v>0.01</v>
      </c>
      <c r="E80" s="353">
        <f>C80*D80</f>
        <v>0</v>
      </c>
      <c r="F80" s="359">
        <f>E80*$F$5</f>
        <v>0</v>
      </c>
      <c r="G80" s="557">
        <v>0.5</v>
      </c>
      <c r="H80" s="361">
        <f t="shared" ref="H80:H120" si="27">C80*G80</f>
        <v>0</v>
      </c>
      <c r="I80" s="357"/>
      <c r="L80" s="343"/>
    </row>
    <row r="81" spans="1:12" s="342" customFormat="1" ht="15" customHeight="1" outlineLevel="1" x14ac:dyDescent="0.25">
      <c r="A81" s="556"/>
      <c r="B81" s="470" t="s">
        <v>231</v>
      </c>
      <c r="C81" s="501"/>
      <c r="D81" s="358">
        <v>0.12</v>
      </c>
      <c r="E81" s="353">
        <f t="shared" si="24"/>
        <v>0</v>
      </c>
      <c r="F81" s="359">
        <f t="shared" si="25"/>
        <v>0</v>
      </c>
      <c r="G81" s="557">
        <v>1.802</v>
      </c>
      <c r="H81" s="361">
        <f t="shared" si="27"/>
        <v>0</v>
      </c>
      <c r="I81" s="357"/>
      <c r="L81" s="343"/>
    </row>
    <row r="82" spans="1:12" s="342" customFormat="1" ht="15" customHeight="1" outlineLevel="1" x14ac:dyDescent="0.25">
      <c r="A82" s="556"/>
      <c r="B82" s="470" t="s">
        <v>232</v>
      </c>
      <c r="C82" s="501"/>
      <c r="D82" s="358">
        <v>0.12</v>
      </c>
      <c r="E82" s="353">
        <f>C82*D82</f>
        <v>0</v>
      </c>
      <c r="F82" s="359">
        <f>E82*$F$5</f>
        <v>0</v>
      </c>
      <c r="G82" s="557">
        <v>8.3504000000000005</v>
      </c>
      <c r="H82" s="361">
        <f t="shared" si="27"/>
        <v>0</v>
      </c>
      <c r="I82" s="357"/>
      <c r="L82" s="343"/>
    </row>
    <row r="83" spans="1:12" s="342" customFormat="1" ht="15" customHeight="1" outlineLevel="1" x14ac:dyDescent="0.25">
      <c r="A83" s="556"/>
      <c r="B83" s="470" t="s">
        <v>233</v>
      </c>
      <c r="C83" s="501"/>
      <c r="D83" s="358">
        <v>0.12</v>
      </c>
      <c r="E83" s="353">
        <f>C83*D83</f>
        <v>0</v>
      </c>
      <c r="F83" s="359">
        <f>E83*$F$5</f>
        <v>0</v>
      </c>
      <c r="G83" s="557">
        <v>10.370000000000001</v>
      </c>
      <c r="H83" s="361">
        <f t="shared" si="27"/>
        <v>0</v>
      </c>
      <c r="I83" s="357"/>
      <c r="L83" s="343"/>
    </row>
    <row r="84" spans="1:12" s="342" customFormat="1" ht="15" customHeight="1" outlineLevel="1" x14ac:dyDescent="0.25">
      <c r="A84" s="556"/>
      <c r="B84" s="470" t="s">
        <v>234</v>
      </c>
      <c r="C84" s="501"/>
      <c r="D84" s="358">
        <v>0.1</v>
      </c>
      <c r="E84" s="353">
        <f t="shared" si="24"/>
        <v>0</v>
      </c>
      <c r="F84" s="359">
        <f t="shared" si="25"/>
        <v>0</v>
      </c>
      <c r="G84" s="557">
        <v>1.4144000000000001</v>
      </c>
      <c r="H84" s="361">
        <f t="shared" si="27"/>
        <v>0</v>
      </c>
      <c r="I84" s="357"/>
      <c r="L84" s="343"/>
    </row>
    <row r="85" spans="1:12" s="342" customFormat="1" ht="15" customHeight="1" outlineLevel="1" x14ac:dyDescent="0.25">
      <c r="A85" s="469"/>
      <c r="B85" s="471" t="s">
        <v>236</v>
      </c>
      <c r="C85" s="362"/>
      <c r="D85" s="358"/>
      <c r="E85" s="353"/>
      <c r="F85" s="359"/>
      <c r="G85" s="360"/>
      <c r="H85" s="361"/>
      <c r="I85" s="357"/>
      <c r="L85" s="343"/>
    </row>
    <row r="86" spans="1:12" s="342" customFormat="1" ht="15" customHeight="1" outlineLevel="1" x14ac:dyDescent="0.25">
      <c r="A86" s="556"/>
      <c r="B86" s="470" t="s">
        <v>224</v>
      </c>
      <c r="C86" s="501">
        <v>0</v>
      </c>
      <c r="D86" s="358">
        <v>0.1</v>
      </c>
      <c r="E86" s="353">
        <f>C86*D86</f>
        <v>0</v>
      </c>
      <c r="F86" s="359">
        <f>E86*$F$5</f>
        <v>0</v>
      </c>
      <c r="G86" s="557">
        <v>3.7</v>
      </c>
      <c r="H86" s="361">
        <f t="shared" si="27"/>
        <v>0</v>
      </c>
      <c r="I86" s="357"/>
      <c r="L86" s="343"/>
    </row>
    <row r="87" spans="1:12" s="342" customFormat="1" ht="15" customHeight="1" outlineLevel="1" x14ac:dyDescent="0.25">
      <c r="A87" s="556"/>
      <c r="B87" s="470" t="s">
        <v>62</v>
      </c>
      <c r="C87" s="501"/>
      <c r="D87" s="358">
        <v>0.1</v>
      </c>
      <c r="E87" s="353">
        <f>C87*D87</f>
        <v>0</v>
      </c>
      <c r="F87" s="359">
        <f>E87*$F$5</f>
        <v>0</v>
      </c>
      <c r="G87" s="557">
        <v>0.68</v>
      </c>
      <c r="H87" s="361">
        <f t="shared" si="27"/>
        <v>0</v>
      </c>
      <c r="I87" s="357"/>
      <c r="L87" s="343"/>
    </row>
    <row r="88" spans="1:12" s="342" customFormat="1" ht="15" customHeight="1" outlineLevel="1" x14ac:dyDescent="0.25">
      <c r="A88" s="556"/>
      <c r="B88" s="470" t="s">
        <v>63</v>
      </c>
      <c r="C88" s="501"/>
      <c r="D88" s="358">
        <v>0.02</v>
      </c>
      <c r="E88" s="353">
        <f>C88*D88</f>
        <v>0</v>
      </c>
      <c r="F88" s="359">
        <f>E88*$F$5</f>
        <v>0</v>
      </c>
      <c r="G88" s="557">
        <v>0.58479999999999999</v>
      </c>
      <c r="H88" s="361">
        <f t="shared" si="27"/>
        <v>0</v>
      </c>
      <c r="I88" s="357"/>
      <c r="L88" s="343"/>
    </row>
    <row r="89" spans="1:12" s="342" customFormat="1" ht="15" customHeight="1" outlineLevel="1" x14ac:dyDescent="0.25">
      <c r="A89" s="556"/>
      <c r="B89" s="470" t="s">
        <v>237</v>
      </c>
      <c r="C89" s="501"/>
      <c r="D89" s="358">
        <v>0.1</v>
      </c>
      <c r="E89" s="353">
        <f>C89*D89</f>
        <v>0</v>
      </c>
      <c r="F89" s="359">
        <f>E89*$F$5</f>
        <v>0</v>
      </c>
      <c r="G89" s="557">
        <v>0.20400000000000001</v>
      </c>
      <c r="H89" s="361">
        <f t="shared" si="27"/>
        <v>0</v>
      </c>
      <c r="I89" s="357"/>
      <c r="L89" s="343"/>
    </row>
    <row r="90" spans="1:12" s="342" customFormat="1" ht="15" customHeight="1" outlineLevel="1" x14ac:dyDescent="0.25">
      <c r="A90" s="556">
        <v>45429</v>
      </c>
      <c r="B90" s="470" t="s">
        <v>304</v>
      </c>
      <c r="C90" s="501"/>
      <c r="D90" s="358">
        <v>0.3</v>
      </c>
      <c r="E90" s="353">
        <f t="shared" si="24"/>
        <v>0</v>
      </c>
      <c r="F90" s="359">
        <f t="shared" si="25"/>
        <v>0</v>
      </c>
      <c r="G90" s="557">
        <v>7.95</v>
      </c>
      <c r="H90" s="361">
        <f t="shared" si="27"/>
        <v>0</v>
      </c>
      <c r="I90" s="357"/>
      <c r="L90" s="343"/>
    </row>
    <row r="91" spans="1:12" s="342" customFormat="1" ht="15" customHeight="1" outlineLevel="1" x14ac:dyDescent="0.25">
      <c r="A91" s="556"/>
      <c r="B91" s="470" t="s">
        <v>225</v>
      </c>
      <c r="C91" s="501"/>
      <c r="D91" s="358">
        <v>0.1</v>
      </c>
      <c r="E91" s="353">
        <f>C91*D91</f>
        <v>0</v>
      </c>
      <c r="F91" s="359">
        <f>E91*$F$5</f>
        <v>0</v>
      </c>
      <c r="G91" s="557">
        <v>0.3</v>
      </c>
      <c r="H91" s="361">
        <f t="shared" si="27"/>
        <v>0</v>
      </c>
      <c r="I91" s="357"/>
      <c r="L91" s="343"/>
    </row>
    <row r="92" spans="1:12" s="342" customFormat="1" ht="15" customHeight="1" outlineLevel="1" x14ac:dyDescent="0.25">
      <c r="A92" s="556"/>
      <c r="B92" s="470" t="s">
        <v>226</v>
      </c>
      <c r="C92" s="501"/>
      <c r="D92" s="358">
        <v>0.05</v>
      </c>
      <c r="E92" s="353">
        <f t="shared" si="24"/>
        <v>0</v>
      </c>
      <c r="F92" s="359">
        <f t="shared" si="25"/>
        <v>0</v>
      </c>
      <c r="G92" s="557">
        <v>0.46240000000000009</v>
      </c>
      <c r="H92" s="361">
        <f t="shared" si="27"/>
        <v>0</v>
      </c>
      <c r="I92" s="357"/>
      <c r="L92" s="343"/>
    </row>
    <row r="93" spans="1:12" s="342" customFormat="1" ht="15" customHeight="1" outlineLevel="1" x14ac:dyDescent="0.25">
      <c r="A93" s="556"/>
      <c r="B93" s="470" t="s">
        <v>227</v>
      </c>
      <c r="C93" s="501"/>
      <c r="D93" s="358">
        <v>0.12</v>
      </c>
      <c r="E93" s="353">
        <f>C93*D93</f>
        <v>0</v>
      </c>
      <c r="F93" s="359">
        <f>E93*$F$5</f>
        <v>0</v>
      </c>
      <c r="G93" s="557">
        <v>2.8016000000000001</v>
      </c>
      <c r="H93" s="361">
        <f t="shared" si="27"/>
        <v>0</v>
      </c>
      <c r="I93" s="357"/>
      <c r="L93" s="343"/>
    </row>
    <row r="94" spans="1:12" s="342" customFormat="1" ht="15" customHeight="1" outlineLevel="1" x14ac:dyDescent="0.25">
      <c r="A94" s="556"/>
      <c r="B94" s="470" t="s">
        <v>228</v>
      </c>
      <c r="C94" s="501"/>
      <c r="D94" s="358">
        <v>0.12</v>
      </c>
      <c r="E94" s="353">
        <f>C94*D94</f>
        <v>0</v>
      </c>
      <c r="F94" s="359">
        <f>E94*$F$5</f>
        <v>0</v>
      </c>
      <c r="G94" s="557">
        <v>1.802</v>
      </c>
      <c r="H94" s="361">
        <f t="shared" si="27"/>
        <v>0</v>
      </c>
      <c r="I94" s="357"/>
      <c r="L94" s="343"/>
    </row>
    <row r="95" spans="1:12" s="342" customFormat="1" ht="15" customHeight="1" outlineLevel="1" x14ac:dyDescent="0.25">
      <c r="A95" s="556"/>
      <c r="B95" s="470" t="s">
        <v>229</v>
      </c>
      <c r="C95" s="501"/>
      <c r="D95" s="358">
        <v>0.1</v>
      </c>
      <c r="E95" s="353">
        <f>C95*D95</f>
        <v>0</v>
      </c>
      <c r="F95" s="359">
        <f>E95*$F$5</f>
        <v>0</v>
      </c>
      <c r="G95" s="557">
        <v>2.4208000000000003</v>
      </c>
      <c r="H95" s="361">
        <f t="shared" si="27"/>
        <v>0</v>
      </c>
      <c r="I95" s="357"/>
      <c r="L95" s="343"/>
    </row>
    <row r="96" spans="1:12" s="342" customFormat="1" ht="15" customHeight="1" outlineLevel="1" x14ac:dyDescent="0.25">
      <c r="A96" s="471"/>
      <c r="B96" s="471" t="s">
        <v>238</v>
      </c>
      <c r="C96" s="362"/>
      <c r="D96" s="358"/>
      <c r="E96" s="353"/>
      <c r="F96" s="359"/>
      <c r="G96" s="360"/>
      <c r="H96" s="361"/>
      <c r="I96" s="357"/>
      <c r="L96" s="343"/>
    </row>
    <row r="97" spans="1:12" s="342" customFormat="1" ht="15" customHeight="1" outlineLevel="1" x14ac:dyDescent="0.25">
      <c r="A97" s="556">
        <v>45429</v>
      </c>
      <c r="B97" s="470" t="s">
        <v>303</v>
      </c>
      <c r="C97" s="501">
        <v>0</v>
      </c>
      <c r="D97" s="358">
        <v>0.25</v>
      </c>
      <c r="E97" s="353">
        <f>C97*D97</f>
        <v>0</v>
      </c>
      <c r="F97" s="359">
        <f>E97*$F$5</f>
        <v>0</v>
      </c>
      <c r="G97" s="557">
        <v>4.33</v>
      </c>
      <c r="H97" s="361">
        <f>C97*G97</f>
        <v>0</v>
      </c>
      <c r="I97" s="357"/>
      <c r="L97" s="343"/>
    </row>
    <row r="98" spans="1:12" s="342" customFormat="1" ht="15" customHeight="1" outlineLevel="1" x14ac:dyDescent="0.25">
      <c r="A98" s="556"/>
      <c r="B98" s="470" t="s">
        <v>106</v>
      </c>
      <c r="C98" s="501"/>
      <c r="D98" s="358">
        <v>0.15</v>
      </c>
      <c r="E98" s="353">
        <f t="shared" si="24"/>
        <v>0</v>
      </c>
      <c r="F98" s="359">
        <f t="shared" si="25"/>
        <v>0</v>
      </c>
      <c r="G98" s="557">
        <v>2.5024000000000002</v>
      </c>
      <c r="H98" s="361">
        <f t="shared" si="27"/>
        <v>0</v>
      </c>
      <c r="I98" s="357"/>
      <c r="L98" s="343"/>
    </row>
    <row r="99" spans="1:12" s="342" customFormat="1" ht="15" customHeight="1" outlineLevel="1" x14ac:dyDescent="0.25">
      <c r="A99" s="556"/>
      <c r="B99" s="470" t="s">
        <v>108</v>
      </c>
      <c r="C99" s="501"/>
      <c r="D99" s="358">
        <v>0.15</v>
      </c>
      <c r="E99" s="353">
        <f t="shared" si="24"/>
        <v>0</v>
      </c>
      <c r="F99" s="359">
        <f t="shared" si="25"/>
        <v>0</v>
      </c>
      <c r="G99" s="557">
        <v>10.4244</v>
      </c>
      <c r="H99" s="361">
        <f t="shared" si="27"/>
        <v>0</v>
      </c>
      <c r="I99" s="357"/>
      <c r="L99" s="343"/>
    </row>
    <row r="100" spans="1:12" s="342" customFormat="1" ht="15" customHeight="1" outlineLevel="1" x14ac:dyDescent="0.25">
      <c r="A100" s="556"/>
      <c r="B100" s="470" t="s">
        <v>119</v>
      </c>
      <c r="C100" s="501"/>
      <c r="D100" s="358">
        <v>0.25</v>
      </c>
      <c r="E100" s="353">
        <f t="shared" si="24"/>
        <v>0</v>
      </c>
      <c r="F100" s="359">
        <f t="shared" si="25"/>
        <v>0</v>
      </c>
      <c r="G100" s="557">
        <v>3.8351999999999999</v>
      </c>
      <c r="H100" s="361">
        <f t="shared" si="27"/>
        <v>0</v>
      </c>
      <c r="I100" s="357"/>
      <c r="L100" s="343"/>
    </row>
    <row r="101" spans="1:12" s="342" customFormat="1" ht="15" customHeight="1" outlineLevel="1" x14ac:dyDescent="0.25">
      <c r="A101" s="556"/>
      <c r="B101" s="470" t="s">
        <v>105</v>
      </c>
      <c r="C101" s="501"/>
      <c r="D101" s="358">
        <v>0.25</v>
      </c>
      <c r="E101" s="353">
        <f t="shared" si="24"/>
        <v>0</v>
      </c>
      <c r="F101" s="359">
        <f t="shared" si="25"/>
        <v>0</v>
      </c>
      <c r="G101" s="557">
        <v>2.0060000000000002</v>
      </c>
      <c r="H101" s="361">
        <f t="shared" si="27"/>
        <v>0</v>
      </c>
      <c r="I101" s="357"/>
      <c r="L101" s="343"/>
    </row>
    <row r="102" spans="1:12" s="342" customFormat="1" ht="15" customHeight="1" outlineLevel="1" x14ac:dyDescent="0.25">
      <c r="A102" s="556"/>
      <c r="B102" s="470" t="s">
        <v>107</v>
      </c>
      <c r="C102" s="501"/>
      <c r="D102" s="358">
        <v>0.25</v>
      </c>
      <c r="E102" s="353">
        <f t="shared" si="24"/>
        <v>0</v>
      </c>
      <c r="F102" s="359">
        <f t="shared" si="25"/>
        <v>0</v>
      </c>
      <c r="G102" s="557">
        <v>1.3532000000000002</v>
      </c>
      <c r="H102" s="361">
        <f t="shared" si="27"/>
        <v>0</v>
      </c>
      <c r="I102" s="357"/>
      <c r="L102" s="343"/>
    </row>
    <row r="103" spans="1:12" s="342" customFormat="1" ht="15" customHeight="1" outlineLevel="1" x14ac:dyDescent="0.25">
      <c r="A103" s="556"/>
      <c r="B103" s="470" t="s">
        <v>60</v>
      </c>
      <c r="C103" s="501"/>
      <c r="D103" s="358">
        <v>0.02</v>
      </c>
      <c r="E103" s="353">
        <f>C103*D103</f>
        <v>0</v>
      </c>
      <c r="F103" s="359">
        <f>E103*$F$5</f>
        <v>0</v>
      </c>
      <c r="G103" s="557">
        <v>8.1600000000000006E-2</v>
      </c>
      <c r="H103" s="361">
        <f>C103*G103</f>
        <v>0</v>
      </c>
      <c r="I103" s="357"/>
      <c r="L103" s="343"/>
    </row>
    <row r="104" spans="1:12" s="342" customFormat="1" ht="15" customHeight="1" outlineLevel="1" x14ac:dyDescent="0.25">
      <c r="A104" s="471"/>
      <c r="B104" s="471" t="s">
        <v>239</v>
      </c>
      <c r="C104" s="362"/>
      <c r="D104" s="358"/>
      <c r="E104" s="353"/>
      <c r="F104" s="359"/>
      <c r="G104" s="360"/>
      <c r="H104" s="361"/>
      <c r="I104" s="357"/>
      <c r="L104" s="343"/>
    </row>
    <row r="105" spans="1:12" s="342" customFormat="1" ht="15" customHeight="1" outlineLevel="1" x14ac:dyDescent="0.25">
      <c r="A105" s="556"/>
      <c r="B105" s="470" t="s">
        <v>96</v>
      </c>
      <c r="C105" s="501"/>
      <c r="D105" s="358">
        <v>0.15</v>
      </c>
      <c r="E105" s="353">
        <f t="shared" si="24"/>
        <v>0</v>
      </c>
      <c r="F105" s="359">
        <f t="shared" si="25"/>
        <v>0</v>
      </c>
      <c r="G105" s="557">
        <v>0.54400000000000004</v>
      </c>
      <c r="H105" s="361">
        <f t="shared" si="27"/>
        <v>0</v>
      </c>
      <c r="I105" s="357"/>
      <c r="L105" s="343"/>
    </row>
    <row r="106" spans="1:12" s="342" customFormat="1" ht="15" customHeight="1" outlineLevel="1" x14ac:dyDescent="0.25">
      <c r="A106" s="556">
        <v>44888</v>
      </c>
      <c r="B106" s="470" t="s">
        <v>95</v>
      </c>
      <c r="C106" s="501"/>
      <c r="D106" s="358"/>
      <c r="E106" s="353">
        <f t="shared" si="24"/>
        <v>0</v>
      </c>
      <c r="F106" s="359">
        <f t="shared" si="25"/>
        <v>0</v>
      </c>
      <c r="G106" s="557">
        <v>5.5</v>
      </c>
      <c r="H106" s="361">
        <f t="shared" si="27"/>
        <v>0</v>
      </c>
      <c r="I106" s="357"/>
      <c r="L106" s="343"/>
    </row>
    <row r="107" spans="1:12" s="342" customFormat="1" ht="15" customHeight="1" outlineLevel="1" x14ac:dyDescent="0.25">
      <c r="A107" s="556">
        <v>44888</v>
      </c>
      <c r="B107" s="470" t="s">
        <v>120</v>
      </c>
      <c r="C107" s="501"/>
      <c r="D107" s="358">
        <v>0.1</v>
      </c>
      <c r="E107" s="353">
        <f>C107*D107</f>
        <v>0</v>
      </c>
      <c r="F107" s="359">
        <f>E107*$F$5</f>
        <v>0</v>
      </c>
      <c r="G107" s="557">
        <v>0.55000000000000004</v>
      </c>
      <c r="H107" s="361">
        <f>C107*G107</f>
        <v>0</v>
      </c>
      <c r="I107" s="357"/>
      <c r="L107" s="343"/>
    </row>
    <row r="108" spans="1:12" s="342" customFormat="1" ht="15" customHeight="1" outlineLevel="1" x14ac:dyDescent="0.25">
      <c r="A108" s="556"/>
      <c r="B108" s="470" t="s">
        <v>121</v>
      </c>
      <c r="C108" s="501"/>
      <c r="D108" s="358">
        <v>0.15</v>
      </c>
      <c r="E108" s="353">
        <f t="shared" si="24"/>
        <v>0</v>
      </c>
      <c r="F108" s="359">
        <f t="shared" si="25"/>
        <v>0</v>
      </c>
      <c r="G108" s="557">
        <v>2.21</v>
      </c>
      <c r="H108" s="361">
        <f t="shared" si="27"/>
        <v>0</v>
      </c>
      <c r="I108" s="357"/>
      <c r="L108" s="343"/>
    </row>
    <row r="109" spans="1:12" s="342" customFormat="1" ht="15" customHeight="1" outlineLevel="1" x14ac:dyDescent="0.25">
      <c r="A109" s="556"/>
      <c r="B109" s="470" t="s">
        <v>242</v>
      </c>
      <c r="C109" s="501"/>
      <c r="D109" s="358"/>
      <c r="E109" s="353">
        <f>C109*D109</f>
        <v>0</v>
      </c>
      <c r="F109" s="359">
        <f>E109*$F$5</f>
        <v>0</v>
      </c>
      <c r="G109" s="557">
        <v>5.9840000000000009</v>
      </c>
      <c r="H109" s="361">
        <f>C109*G109</f>
        <v>0</v>
      </c>
      <c r="I109" s="357"/>
      <c r="L109" s="343"/>
    </row>
    <row r="110" spans="1:12" s="342" customFormat="1" ht="15" customHeight="1" outlineLevel="1" x14ac:dyDescent="0.25">
      <c r="A110" s="556"/>
      <c r="B110" s="470" t="s">
        <v>243</v>
      </c>
      <c r="C110" s="501"/>
      <c r="D110" s="358">
        <v>0.15</v>
      </c>
      <c r="E110" s="353">
        <f t="shared" si="24"/>
        <v>0</v>
      </c>
      <c r="F110" s="359">
        <f t="shared" si="25"/>
        <v>0</v>
      </c>
      <c r="G110" s="557">
        <v>2.04</v>
      </c>
      <c r="H110" s="361">
        <f t="shared" si="27"/>
        <v>0</v>
      </c>
      <c r="I110" s="357"/>
      <c r="L110" s="343"/>
    </row>
    <row r="111" spans="1:12" s="342" customFormat="1" ht="15" customHeight="1" outlineLevel="1" x14ac:dyDescent="0.25">
      <c r="A111" s="556"/>
      <c r="B111" s="470" t="s">
        <v>244</v>
      </c>
      <c r="C111" s="501"/>
      <c r="D111" s="358"/>
      <c r="E111" s="353">
        <f t="shared" si="24"/>
        <v>0</v>
      </c>
      <c r="F111" s="359">
        <f t="shared" si="25"/>
        <v>0</v>
      </c>
      <c r="G111" s="557">
        <v>16.000400000000003</v>
      </c>
      <c r="H111" s="361">
        <f t="shared" si="27"/>
        <v>0</v>
      </c>
      <c r="I111" s="357"/>
      <c r="L111" s="343"/>
    </row>
    <row r="112" spans="1:12" s="342" customFormat="1" ht="15" customHeight="1" outlineLevel="1" x14ac:dyDescent="0.25">
      <c r="A112" s="556"/>
      <c r="B112" s="470" t="s">
        <v>93</v>
      </c>
      <c r="C112" s="501"/>
      <c r="D112" s="358"/>
      <c r="E112" s="353">
        <f t="shared" si="24"/>
        <v>0</v>
      </c>
      <c r="F112" s="359">
        <f t="shared" si="25"/>
        <v>0</v>
      </c>
      <c r="G112" s="557">
        <v>11.356</v>
      </c>
      <c r="H112" s="361">
        <f t="shared" si="27"/>
        <v>0</v>
      </c>
      <c r="I112" s="357"/>
      <c r="L112" s="343"/>
    </row>
    <row r="113" spans="1:27" s="342" customFormat="1" ht="15" customHeight="1" outlineLevel="1" x14ac:dyDescent="0.25">
      <c r="A113" s="556"/>
      <c r="B113" s="470" t="s">
        <v>283</v>
      </c>
      <c r="C113" s="501"/>
      <c r="D113" s="358">
        <v>0.2</v>
      </c>
      <c r="E113" s="353">
        <f t="shared" si="24"/>
        <v>0</v>
      </c>
      <c r="F113" s="359">
        <f t="shared" si="25"/>
        <v>0</v>
      </c>
      <c r="G113" s="557">
        <v>5.78</v>
      </c>
      <c r="H113" s="361">
        <f t="shared" si="27"/>
        <v>0</v>
      </c>
      <c r="I113" s="357"/>
      <c r="L113" s="343"/>
    </row>
    <row r="114" spans="1:27" s="342" customFormat="1" ht="15" customHeight="1" outlineLevel="1" x14ac:dyDescent="0.25">
      <c r="A114" s="556"/>
      <c r="B114" s="470" t="s">
        <v>284</v>
      </c>
      <c r="C114" s="501"/>
      <c r="D114" s="358">
        <v>0.2</v>
      </c>
      <c r="E114" s="353">
        <f t="shared" si="24"/>
        <v>0</v>
      </c>
      <c r="F114" s="359">
        <f t="shared" si="25"/>
        <v>0</v>
      </c>
      <c r="G114" s="557">
        <v>17</v>
      </c>
      <c r="H114" s="361">
        <f t="shared" si="27"/>
        <v>0</v>
      </c>
      <c r="I114" s="357"/>
      <c r="L114" s="343"/>
    </row>
    <row r="115" spans="1:27" s="342" customFormat="1" ht="15" customHeight="1" outlineLevel="1" x14ac:dyDescent="0.25">
      <c r="A115" s="556"/>
      <c r="B115" s="470" t="s">
        <v>127</v>
      </c>
      <c r="C115" s="501"/>
      <c r="D115" s="358">
        <v>0.2</v>
      </c>
      <c r="E115" s="363">
        <f t="shared" ref="E115:E120" si="28">C115*D115</f>
        <v>0</v>
      </c>
      <c r="F115" s="359">
        <f t="shared" ref="F115:F121" si="29">E115*$F$5</f>
        <v>0</v>
      </c>
      <c r="G115" s="557">
        <v>0.95199999999999996</v>
      </c>
      <c r="H115" s="361">
        <f t="shared" si="27"/>
        <v>0</v>
      </c>
      <c r="I115" s="357"/>
      <c r="L115" s="343"/>
      <c r="W115" s="51"/>
    </row>
    <row r="116" spans="1:27" s="342" customFormat="1" ht="15" customHeight="1" outlineLevel="1" x14ac:dyDescent="0.25">
      <c r="A116" s="556"/>
      <c r="B116" s="472" t="s">
        <v>293</v>
      </c>
      <c r="C116" s="559"/>
      <c r="D116" s="364"/>
      <c r="E116" s="363">
        <f t="shared" si="28"/>
        <v>0</v>
      </c>
      <c r="F116" s="365">
        <f t="shared" si="29"/>
        <v>0</v>
      </c>
      <c r="G116" s="560"/>
      <c r="H116" s="361">
        <f t="shared" si="27"/>
        <v>0</v>
      </c>
      <c r="I116" s="357"/>
      <c r="L116" s="343"/>
      <c r="O116" s="51"/>
      <c r="P116" s="51"/>
      <c r="Q116" s="51"/>
      <c r="R116" s="51"/>
      <c r="W116" s="51"/>
    </row>
    <row r="117" spans="1:27" s="342" customFormat="1" ht="15" customHeight="1" outlineLevel="1" x14ac:dyDescent="0.25">
      <c r="A117" s="556"/>
      <c r="B117" s="472"/>
      <c r="C117" s="559"/>
      <c r="D117" s="364"/>
      <c r="E117" s="363">
        <f t="shared" si="28"/>
        <v>0</v>
      </c>
      <c r="F117" s="365">
        <f t="shared" si="29"/>
        <v>0</v>
      </c>
      <c r="G117" s="560"/>
      <c r="H117" s="361">
        <f t="shared" si="27"/>
        <v>0</v>
      </c>
      <c r="I117" s="357"/>
      <c r="L117" s="343"/>
      <c r="O117" s="51"/>
      <c r="P117" s="51"/>
      <c r="Q117" s="51"/>
      <c r="R117" s="51"/>
      <c r="V117" s="51"/>
      <c r="W117" s="51"/>
    </row>
    <row r="118" spans="1:27" s="51" customFormat="1" ht="15" customHeight="1" outlineLevel="1" x14ac:dyDescent="0.25">
      <c r="A118" s="556"/>
      <c r="B118" s="472"/>
      <c r="C118" s="559"/>
      <c r="D118" s="364"/>
      <c r="E118" s="363">
        <f t="shared" si="28"/>
        <v>0</v>
      </c>
      <c r="F118" s="365">
        <f t="shared" si="29"/>
        <v>0</v>
      </c>
      <c r="G118" s="560"/>
      <c r="H118" s="361">
        <f t="shared" si="27"/>
        <v>0</v>
      </c>
      <c r="I118" s="357"/>
      <c r="L118" s="170"/>
    </row>
    <row r="119" spans="1:27" s="51" customFormat="1" ht="15" customHeight="1" outlineLevel="1" x14ac:dyDescent="0.25">
      <c r="A119" s="556"/>
      <c r="B119" s="472"/>
      <c r="C119" s="559"/>
      <c r="D119" s="364"/>
      <c r="E119" s="363">
        <f t="shared" si="28"/>
        <v>0</v>
      </c>
      <c r="F119" s="365">
        <f t="shared" si="29"/>
        <v>0</v>
      </c>
      <c r="G119" s="560"/>
      <c r="H119" s="361">
        <f t="shared" si="27"/>
        <v>0</v>
      </c>
      <c r="I119" s="357"/>
      <c r="L119" s="170"/>
    </row>
    <row r="120" spans="1:27" s="51" customFormat="1" ht="15" customHeight="1" outlineLevel="1" thickBot="1" x14ac:dyDescent="0.3">
      <c r="A120" s="558"/>
      <c r="B120" s="472"/>
      <c r="C120" s="559"/>
      <c r="D120" s="364"/>
      <c r="E120" s="366">
        <f t="shared" si="28"/>
        <v>0</v>
      </c>
      <c r="F120" s="365">
        <f t="shared" si="29"/>
        <v>0</v>
      </c>
      <c r="G120" s="560"/>
      <c r="H120" s="473">
        <f t="shared" si="27"/>
        <v>0</v>
      </c>
      <c r="I120" s="367"/>
      <c r="L120" s="170"/>
    </row>
    <row r="121" spans="1:27" s="51" customFormat="1" ht="15" customHeight="1" outlineLevel="1" thickBot="1" x14ac:dyDescent="0.3">
      <c r="A121" s="493"/>
      <c r="B121" s="474" t="s">
        <v>240</v>
      </c>
      <c r="C121" s="475"/>
      <c r="D121" s="476"/>
      <c r="E121" s="477">
        <f>SUM(E79:E120)</f>
        <v>0</v>
      </c>
      <c r="F121" s="478">
        <f t="shared" si="29"/>
        <v>0</v>
      </c>
      <c r="G121" s="479"/>
      <c r="H121" s="480">
        <f>SUM(H79:H120)</f>
        <v>0</v>
      </c>
      <c r="I121" s="481"/>
      <c r="L121" s="170"/>
    </row>
    <row r="122" spans="1:27" s="51" customFormat="1" ht="15" customHeight="1" outlineLevel="1" x14ac:dyDescent="0.25">
      <c r="A122" s="563"/>
      <c r="B122" s="564" t="s">
        <v>265</v>
      </c>
      <c r="C122" s="565"/>
      <c r="D122" s="566"/>
      <c r="E122" s="567"/>
      <c r="F122" s="568"/>
      <c r="G122" s="368"/>
      <c r="H122" s="369"/>
      <c r="I122" s="569"/>
      <c r="L122" s="170"/>
    </row>
    <row r="123" spans="1:27" s="51" customFormat="1" ht="15" customHeight="1" outlineLevel="1" x14ac:dyDescent="0.25">
      <c r="A123" s="561">
        <v>45911</v>
      </c>
      <c r="B123" s="570" t="s">
        <v>205</v>
      </c>
      <c r="C123" s="572">
        <f>SUM(C12,C10,C13,C14,C15,C16,C17,C18,C20,C23,C24)*2</f>
        <v>0</v>
      </c>
      <c r="D123" s="576">
        <v>1.4999999999999999E-2</v>
      </c>
      <c r="E123" s="370">
        <f t="shared" si="24"/>
        <v>0</v>
      </c>
      <c r="F123" s="371">
        <f t="shared" si="25"/>
        <v>0</v>
      </c>
      <c r="G123" s="372">
        <v>0.18</v>
      </c>
      <c r="H123" s="373">
        <f t="shared" ref="H123:H156" si="30">C123*G123</f>
        <v>0</v>
      </c>
      <c r="I123" s="578" t="s">
        <v>223</v>
      </c>
      <c r="L123" s="170"/>
    </row>
    <row r="124" spans="1:27" s="51" customFormat="1" ht="15" customHeight="1" outlineLevel="1" x14ac:dyDescent="0.25">
      <c r="A124" s="561">
        <v>45429</v>
      </c>
      <c r="B124" s="570" t="s">
        <v>39</v>
      </c>
      <c r="C124" s="572">
        <f>SUM(C15,C16,C23)</f>
        <v>0</v>
      </c>
      <c r="D124" s="576">
        <v>8.3000000000000004E-2</v>
      </c>
      <c r="E124" s="370">
        <f t="shared" si="24"/>
        <v>0</v>
      </c>
      <c r="F124" s="371">
        <f t="shared" si="25"/>
        <v>0</v>
      </c>
      <c r="G124" s="372">
        <v>1.25</v>
      </c>
      <c r="H124" s="373">
        <f t="shared" si="30"/>
        <v>0</v>
      </c>
      <c r="I124" s="578" t="s">
        <v>223</v>
      </c>
      <c r="L124" s="170"/>
      <c r="AA124" s="341"/>
    </row>
    <row r="125" spans="1:27" s="51" customFormat="1" ht="15" customHeight="1" outlineLevel="1" x14ac:dyDescent="0.25">
      <c r="A125" s="561">
        <v>45429</v>
      </c>
      <c r="B125" s="570" t="s">
        <v>294</v>
      </c>
      <c r="C125" s="573"/>
      <c r="D125" s="576">
        <v>1.2E-2</v>
      </c>
      <c r="E125" s="370">
        <f t="shared" ref="E125:E158" si="31">C125*D125</f>
        <v>0</v>
      </c>
      <c r="F125" s="371">
        <f t="shared" ref="F125:F159" si="32">E125*$F$5</f>
        <v>0</v>
      </c>
      <c r="G125" s="372">
        <v>0.15</v>
      </c>
      <c r="H125" s="373">
        <f t="shared" si="30"/>
        <v>0</v>
      </c>
      <c r="I125" s="578" t="s">
        <v>223</v>
      </c>
      <c r="L125" s="170"/>
      <c r="AA125" s="341"/>
    </row>
    <row r="126" spans="1:27" s="51" customFormat="1" ht="15" customHeight="1" outlineLevel="1" x14ac:dyDescent="0.25">
      <c r="A126" s="561"/>
      <c r="B126" s="570"/>
      <c r="C126" s="573"/>
      <c r="D126" s="576"/>
      <c r="E126" s="370">
        <f t="shared" si="31"/>
        <v>0</v>
      </c>
      <c r="F126" s="371">
        <f t="shared" si="32"/>
        <v>0</v>
      </c>
      <c r="G126" s="372">
        <v>0.02</v>
      </c>
      <c r="H126" s="373">
        <f t="shared" si="30"/>
        <v>0</v>
      </c>
      <c r="I126" s="578" t="s">
        <v>223</v>
      </c>
      <c r="L126" s="170"/>
      <c r="AA126" s="341"/>
    </row>
    <row r="127" spans="1:27" s="51" customFormat="1" ht="15" customHeight="1" outlineLevel="1" x14ac:dyDescent="0.25">
      <c r="A127" s="561">
        <v>45911</v>
      </c>
      <c r="B127" s="570" t="s">
        <v>360</v>
      </c>
      <c r="C127" s="574">
        <v>0</v>
      </c>
      <c r="D127" s="576">
        <v>0.15</v>
      </c>
      <c r="E127" s="370">
        <f t="shared" si="31"/>
        <v>0</v>
      </c>
      <c r="F127" s="371">
        <f t="shared" si="32"/>
        <v>0</v>
      </c>
      <c r="G127" s="372">
        <v>2.36</v>
      </c>
      <c r="H127" s="373">
        <f t="shared" si="30"/>
        <v>0</v>
      </c>
      <c r="I127" s="578"/>
      <c r="L127" s="170"/>
      <c r="AA127" s="341"/>
    </row>
    <row r="128" spans="1:27" s="51" customFormat="1" ht="15" customHeight="1" outlineLevel="1" x14ac:dyDescent="0.25">
      <c r="A128" s="562">
        <v>45911</v>
      </c>
      <c r="B128" s="570" t="s">
        <v>361</v>
      </c>
      <c r="C128" s="574"/>
      <c r="D128" s="576">
        <v>0.15</v>
      </c>
      <c r="E128" s="370">
        <f t="shared" si="31"/>
        <v>0</v>
      </c>
      <c r="F128" s="371">
        <f t="shared" si="32"/>
        <v>0</v>
      </c>
      <c r="G128" s="372">
        <v>2.5099999999999998</v>
      </c>
      <c r="H128" s="373">
        <f t="shared" si="30"/>
        <v>0</v>
      </c>
      <c r="I128" s="578"/>
      <c r="L128" s="170"/>
      <c r="AA128" s="341"/>
    </row>
    <row r="129" spans="1:27" s="51" customFormat="1" ht="15" customHeight="1" outlineLevel="1" x14ac:dyDescent="0.25">
      <c r="A129" s="561"/>
      <c r="B129" s="570"/>
      <c r="C129" s="572">
        <f>CEILING((((C34+C39+C43+C60+C63+C68)*C128/100)*3),100)</f>
        <v>0</v>
      </c>
      <c r="D129" s="576"/>
      <c r="E129" s="370">
        <f>C129*D129</f>
        <v>0</v>
      </c>
      <c r="F129" s="371">
        <f>E129*$F$5</f>
        <v>0</v>
      </c>
      <c r="G129" s="372"/>
      <c r="H129" s="373">
        <f t="shared" ref="H129" si="33">C129*G129</f>
        <v>0</v>
      </c>
      <c r="I129" s="578"/>
      <c r="L129" s="170"/>
      <c r="AA129" s="341"/>
    </row>
    <row r="130" spans="1:27" s="51" customFormat="1" ht="15" customHeight="1" outlineLevel="1" thickBot="1" x14ac:dyDescent="0.3">
      <c r="A130" s="561"/>
      <c r="B130" s="571" t="s">
        <v>208</v>
      </c>
      <c r="C130" s="575">
        <f>CEILING(((C34+C48+C60+C63+C68)*3),100)</f>
        <v>0</v>
      </c>
      <c r="D130" s="577">
        <v>1.4999999999999999E-2</v>
      </c>
      <c r="E130" s="374">
        <f>C130*D130</f>
        <v>0</v>
      </c>
      <c r="F130" s="375">
        <f>E130*$F$5</f>
        <v>0</v>
      </c>
      <c r="G130" s="376">
        <v>0.22</v>
      </c>
      <c r="H130" s="377">
        <f t="shared" ref="H130" si="34">C130*G130</f>
        <v>0</v>
      </c>
      <c r="I130" s="579" t="s">
        <v>223</v>
      </c>
      <c r="L130" s="170"/>
      <c r="AA130" s="341"/>
    </row>
    <row r="131" spans="1:27" s="51" customFormat="1" ht="15" customHeight="1" outlineLevel="1" thickBot="1" x14ac:dyDescent="0.3">
      <c r="A131" s="378"/>
      <c r="B131" s="379"/>
      <c r="C131" s="380"/>
      <c r="D131" s="381"/>
      <c r="E131" s="382">
        <f>SUM(E123:E130)</f>
        <v>0</v>
      </c>
      <c r="F131" s="383">
        <f>SUM(F123:F130)</f>
        <v>0</v>
      </c>
      <c r="G131" s="384"/>
      <c r="H131" s="385">
        <f>SUM(H123:H130)</f>
        <v>0</v>
      </c>
      <c r="I131" s="386"/>
      <c r="L131" s="170"/>
      <c r="AA131" s="341"/>
    </row>
    <row r="132" spans="1:27" s="51" customFormat="1" ht="15" customHeight="1" outlineLevel="1" x14ac:dyDescent="0.25">
      <c r="A132" s="563"/>
      <c r="B132" s="564" t="s">
        <v>289</v>
      </c>
      <c r="C132" s="565"/>
      <c r="D132" s="566"/>
      <c r="E132" s="567"/>
      <c r="F132" s="568"/>
      <c r="G132" s="368"/>
      <c r="H132" s="369"/>
      <c r="I132" s="569"/>
      <c r="L132" s="170"/>
    </row>
    <row r="133" spans="1:27" s="51" customFormat="1" ht="15" customHeight="1" outlineLevel="1" x14ac:dyDescent="0.25">
      <c r="A133" s="561">
        <v>44977</v>
      </c>
      <c r="B133" s="570" t="s">
        <v>205</v>
      </c>
      <c r="C133" s="581"/>
      <c r="D133" s="576">
        <v>0.01</v>
      </c>
      <c r="E133" s="370">
        <f t="shared" ref="E133:E137" si="35">C133*D133</f>
        <v>0</v>
      </c>
      <c r="F133" s="371">
        <f t="shared" ref="F133:F137" si="36">E133*$F$5</f>
        <v>0</v>
      </c>
      <c r="G133" s="372">
        <v>0.2</v>
      </c>
      <c r="H133" s="373">
        <f t="shared" ref="H133:H137" si="37">C133*G133</f>
        <v>0</v>
      </c>
      <c r="I133" s="581"/>
      <c r="L133" s="170"/>
    </row>
    <row r="134" spans="1:27" s="51" customFormat="1" ht="15" customHeight="1" outlineLevel="1" x14ac:dyDescent="0.25">
      <c r="A134" s="561">
        <v>45439</v>
      </c>
      <c r="B134" s="570" t="s">
        <v>305</v>
      </c>
      <c r="C134" s="581"/>
      <c r="D134" s="576">
        <v>0.25</v>
      </c>
      <c r="E134" s="370">
        <f t="shared" si="35"/>
        <v>0</v>
      </c>
      <c r="F134" s="371">
        <f t="shared" si="36"/>
        <v>0</v>
      </c>
      <c r="G134" s="372">
        <v>3.95</v>
      </c>
      <c r="H134" s="373">
        <f t="shared" si="37"/>
        <v>0</v>
      </c>
      <c r="I134" s="581"/>
      <c r="L134" s="170"/>
    </row>
    <row r="135" spans="1:27" s="51" customFormat="1" ht="15" customHeight="1" outlineLevel="1" x14ac:dyDescent="0.25">
      <c r="A135" s="561"/>
      <c r="B135" s="570" t="s">
        <v>290</v>
      </c>
      <c r="C135" s="575">
        <f>CEILING(((C39+C43+C48+C51+C55+C68+C73)*3),100)</f>
        <v>0</v>
      </c>
      <c r="D135" s="576">
        <v>7.4999999999999997E-2</v>
      </c>
      <c r="E135" s="370">
        <f t="shared" si="35"/>
        <v>0</v>
      </c>
      <c r="F135" s="371">
        <f t="shared" si="36"/>
        <v>0</v>
      </c>
      <c r="G135" s="372">
        <v>0.15</v>
      </c>
      <c r="H135" s="373">
        <f t="shared" si="37"/>
        <v>0</v>
      </c>
      <c r="I135" s="578" t="s">
        <v>223</v>
      </c>
      <c r="L135" s="170"/>
      <c r="AA135" s="339" t="s">
        <v>247</v>
      </c>
    </row>
    <row r="136" spans="1:27" s="51" customFormat="1" ht="15" customHeight="1" outlineLevel="1" x14ac:dyDescent="0.25">
      <c r="A136" s="561">
        <v>45911</v>
      </c>
      <c r="B136" s="570" t="s">
        <v>245</v>
      </c>
      <c r="C136" s="573">
        <f>CEILING(((C35+C49+C52+C56)*3),100)</f>
        <v>0</v>
      </c>
      <c r="D136" s="576">
        <v>1.6E-2</v>
      </c>
      <c r="E136" s="370">
        <f t="shared" si="35"/>
        <v>0</v>
      </c>
      <c r="F136" s="371">
        <f t="shared" si="36"/>
        <v>0</v>
      </c>
      <c r="G136" s="372">
        <v>0.06</v>
      </c>
      <c r="H136" s="373">
        <f t="shared" si="37"/>
        <v>0</v>
      </c>
      <c r="I136" s="578" t="s">
        <v>223</v>
      </c>
      <c r="L136" s="170"/>
      <c r="AA136" s="339"/>
    </row>
    <row r="137" spans="1:27" s="51" customFormat="1" ht="15" customHeight="1" outlineLevel="1" x14ac:dyDescent="0.25">
      <c r="A137" s="561"/>
      <c r="B137" s="570" t="s">
        <v>246</v>
      </c>
      <c r="C137" s="572"/>
      <c r="D137" s="576">
        <v>1.6E-2</v>
      </c>
      <c r="E137" s="370">
        <f t="shared" si="35"/>
        <v>0</v>
      </c>
      <c r="F137" s="371">
        <f t="shared" si="36"/>
        <v>0</v>
      </c>
      <c r="G137" s="372">
        <v>0.02</v>
      </c>
      <c r="H137" s="373">
        <f t="shared" si="37"/>
        <v>0</v>
      </c>
      <c r="I137" s="578" t="s">
        <v>223</v>
      </c>
      <c r="L137" s="170"/>
      <c r="AA137" s="339">
        <v>10</v>
      </c>
    </row>
    <row r="138" spans="1:27" s="51" customFormat="1" ht="15" customHeight="1" outlineLevel="1" x14ac:dyDescent="0.25">
      <c r="A138" s="561"/>
      <c r="B138" s="580"/>
      <c r="C138" s="581"/>
      <c r="D138" s="580"/>
      <c r="E138" s="618"/>
      <c r="F138" s="619"/>
      <c r="G138" s="580"/>
      <c r="H138" s="620"/>
      <c r="I138" s="581"/>
      <c r="L138" s="170"/>
      <c r="AA138" s="339">
        <v>20</v>
      </c>
    </row>
    <row r="139" spans="1:27" s="51" customFormat="1" ht="15" customHeight="1" outlineLevel="1" thickBot="1" x14ac:dyDescent="0.3">
      <c r="A139" s="562"/>
      <c r="B139" s="580"/>
      <c r="C139" s="624"/>
      <c r="D139" s="580"/>
      <c r="E139" s="622"/>
      <c r="F139" s="619"/>
      <c r="G139" s="580"/>
      <c r="H139" s="623"/>
      <c r="I139" s="581"/>
      <c r="L139" s="170"/>
      <c r="AA139" s="339">
        <v>30</v>
      </c>
    </row>
    <row r="140" spans="1:27" s="51" customFormat="1" ht="15" customHeight="1" outlineLevel="1" thickBot="1" x14ac:dyDescent="0.3">
      <c r="A140" s="378"/>
      <c r="B140" s="379"/>
      <c r="C140" s="380"/>
      <c r="D140" s="381"/>
      <c r="E140" s="382">
        <f>SUM(E133:E139)</f>
        <v>0</v>
      </c>
      <c r="F140" s="383">
        <f>SUM(F133:F139)</f>
        <v>0</v>
      </c>
      <c r="G140" s="384"/>
      <c r="H140" s="385">
        <f>SUM(H133:H139)</f>
        <v>0</v>
      </c>
      <c r="I140" s="386"/>
      <c r="L140" s="170"/>
      <c r="AA140" s="339">
        <v>40</v>
      </c>
    </row>
    <row r="141" spans="1:27" s="51" customFormat="1" ht="15" customHeight="1" outlineLevel="1" x14ac:dyDescent="0.25">
      <c r="A141" s="584"/>
      <c r="B141" s="585" t="s">
        <v>264</v>
      </c>
      <c r="C141" s="586"/>
      <c r="D141" s="587"/>
      <c r="E141" s="588"/>
      <c r="F141" s="589"/>
      <c r="G141" s="590"/>
      <c r="H141" s="591"/>
      <c r="I141" s="592"/>
      <c r="L141" s="170"/>
      <c r="AA141" s="339">
        <v>50</v>
      </c>
    </row>
    <row r="142" spans="1:27" s="51" customFormat="1" ht="15" customHeight="1" outlineLevel="1" x14ac:dyDescent="0.25">
      <c r="A142" s="593" t="s">
        <v>302</v>
      </c>
      <c r="B142" s="580" t="s">
        <v>162</v>
      </c>
      <c r="C142" s="581"/>
      <c r="D142" s="580">
        <v>0.02</v>
      </c>
      <c r="E142" s="370">
        <f t="shared" si="31"/>
        <v>0</v>
      </c>
      <c r="F142" s="387">
        <f t="shared" si="32"/>
        <v>0</v>
      </c>
      <c r="G142" s="583">
        <v>31.96</v>
      </c>
      <c r="H142" s="373">
        <f t="shared" si="30"/>
        <v>0</v>
      </c>
      <c r="I142" s="581"/>
      <c r="L142" s="170"/>
      <c r="AA142" s="339">
        <v>60</v>
      </c>
    </row>
    <row r="143" spans="1:27" s="51" customFormat="1" ht="15" customHeight="1" outlineLevel="1" x14ac:dyDescent="0.25">
      <c r="A143" s="593">
        <v>44959</v>
      </c>
      <c r="B143" s="580" t="s">
        <v>209</v>
      </c>
      <c r="C143" s="580">
        <v>0</v>
      </c>
      <c r="D143" s="625">
        <v>0.25</v>
      </c>
      <c r="E143" s="370">
        <f t="shared" si="31"/>
        <v>0</v>
      </c>
      <c r="F143" s="371">
        <f t="shared" si="32"/>
        <v>0</v>
      </c>
      <c r="G143" s="583">
        <v>3.5</v>
      </c>
      <c r="H143" s="373">
        <f t="shared" si="30"/>
        <v>0</v>
      </c>
      <c r="I143" s="581"/>
      <c r="L143" s="170"/>
      <c r="AA143" s="339">
        <v>70</v>
      </c>
    </row>
    <row r="144" spans="1:27" s="51" customFormat="1" ht="15" customHeight="1" outlineLevel="1" x14ac:dyDescent="0.25">
      <c r="A144" s="593">
        <v>44959</v>
      </c>
      <c r="B144" s="580" t="s">
        <v>207</v>
      </c>
      <c r="C144" s="580">
        <v>0</v>
      </c>
      <c r="D144" s="625">
        <v>7.4999999999999997E-2</v>
      </c>
      <c r="E144" s="370">
        <f t="shared" si="31"/>
        <v>0</v>
      </c>
      <c r="F144" s="371">
        <f t="shared" si="32"/>
        <v>0</v>
      </c>
      <c r="G144" s="583">
        <v>0.1</v>
      </c>
      <c r="H144" s="373">
        <f t="shared" si="30"/>
        <v>0</v>
      </c>
      <c r="I144" s="581"/>
      <c r="L144" s="170"/>
      <c r="AA144" s="339">
        <v>80</v>
      </c>
    </row>
    <row r="145" spans="1:27" s="51" customFormat="1" ht="15" customHeight="1" outlineLevel="1" x14ac:dyDescent="0.25">
      <c r="A145" s="593"/>
      <c r="B145" s="580" t="s">
        <v>49</v>
      </c>
      <c r="C145" s="580"/>
      <c r="D145" s="625"/>
      <c r="E145" s="370">
        <f t="shared" si="31"/>
        <v>0</v>
      </c>
      <c r="F145" s="371">
        <f t="shared" si="32"/>
        <v>0</v>
      </c>
      <c r="G145" s="583">
        <v>22.44</v>
      </c>
      <c r="H145" s="373">
        <f t="shared" si="30"/>
        <v>0</v>
      </c>
      <c r="I145" s="581"/>
      <c r="L145" s="170"/>
      <c r="AA145" s="339">
        <v>90</v>
      </c>
    </row>
    <row r="146" spans="1:27" s="51" customFormat="1" ht="15" customHeight="1" outlineLevel="1" x14ac:dyDescent="0.25">
      <c r="A146" s="593"/>
      <c r="B146" s="580" t="s">
        <v>50</v>
      </c>
      <c r="C146" s="580"/>
      <c r="D146" s="625">
        <v>0.2</v>
      </c>
      <c r="E146" s="370">
        <f t="shared" si="31"/>
        <v>0</v>
      </c>
      <c r="F146" s="371">
        <f t="shared" si="32"/>
        <v>0</v>
      </c>
      <c r="G146" s="583">
        <v>16.265600000000003</v>
      </c>
      <c r="H146" s="373">
        <f t="shared" si="30"/>
        <v>0</v>
      </c>
      <c r="I146" s="581"/>
      <c r="L146" s="170"/>
      <c r="AA146" s="339">
        <v>100</v>
      </c>
    </row>
    <row r="147" spans="1:27" s="51" customFormat="1" ht="15" customHeight="1" outlineLevel="1" x14ac:dyDescent="0.25">
      <c r="A147" s="593"/>
      <c r="B147" s="580" t="s">
        <v>38</v>
      </c>
      <c r="C147" s="580"/>
      <c r="D147" s="625"/>
      <c r="E147" s="370">
        <f t="shared" si="31"/>
        <v>0</v>
      </c>
      <c r="F147" s="371">
        <f t="shared" si="32"/>
        <v>0</v>
      </c>
      <c r="G147" s="583">
        <v>0.34</v>
      </c>
      <c r="H147" s="373">
        <f t="shared" si="30"/>
        <v>0</v>
      </c>
      <c r="I147" s="581"/>
      <c r="L147" s="170"/>
    </row>
    <row r="148" spans="1:27" s="51" customFormat="1" ht="15" customHeight="1" outlineLevel="1" x14ac:dyDescent="0.25">
      <c r="A148" s="593">
        <v>44959</v>
      </c>
      <c r="B148" s="580" t="s">
        <v>40</v>
      </c>
      <c r="C148" s="580"/>
      <c r="D148" s="625">
        <v>0</v>
      </c>
      <c r="E148" s="370">
        <f t="shared" si="31"/>
        <v>0</v>
      </c>
      <c r="F148" s="371">
        <f t="shared" si="32"/>
        <v>0</v>
      </c>
      <c r="G148" s="583">
        <v>0.85</v>
      </c>
      <c r="H148" s="373">
        <f t="shared" si="30"/>
        <v>0</v>
      </c>
      <c r="I148" s="581"/>
      <c r="L148" s="170"/>
    </row>
    <row r="149" spans="1:27" s="51" customFormat="1" ht="15" customHeight="1" outlineLevel="1" x14ac:dyDescent="0.25">
      <c r="A149" s="593">
        <v>44959</v>
      </c>
      <c r="B149" s="580" t="s">
        <v>206</v>
      </c>
      <c r="C149" s="580"/>
      <c r="D149" s="625"/>
      <c r="E149" s="370">
        <f t="shared" si="31"/>
        <v>0</v>
      </c>
      <c r="F149" s="371">
        <f t="shared" si="32"/>
        <v>0</v>
      </c>
      <c r="G149" s="583">
        <v>0.95</v>
      </c>
      <c r="H149" s="373">
        <f t="shared" si="30"/>
        <v>0</v>
      </c>
      <c r="I149" s="581"/>
      <c r="L149" s="170"/>
    </row>
    <row r="150" spans="1:27" s="51" customFormat="1" ht="15" customHeight="1" outlineLevel="1" x14ac:dyDescent="0.25">
      <c r="A150" s="593"/>
      <c r="B150" s="580" t="s">
        <v>248</v>
      </c>
      <c r="C150" s="580"/>
      <c r="D150" s="625"/>
      <c r="E150" s="370">
        <f t="shared" ref="E150" si="38">C150*D150</f>
        <v>0</v>
      </c>
      <c r="F150" s="371">
        <f t="shared" ref="F150" si="39">E150*$F$5</f>
        <v>0</v>
      </c>
      <c r="G150" s="583">
        <v>0.6</v>
      </c>
      <c r="H150" s="373">
        <f t="shared" ref="H150" si="40">C150*G150</f>
        <v>0</v>
      </c>
      <c r="I150" s="581"/>
      <c r="L150" s="170"/>
    </row>
    <row r="151" spans="1:27" s="51" customFormat="1" ht="15" customHeight="1" outlineLevel="1" x14ac:dyDescent="0.25">
      <c r="A151" s="593"/>
      <c r="B151" s="580" t="s">
        <v>362</v>
      </c>
      <c r="C151" s="580"/>
      <c r="D151" s="625">
        <v>0</v>
      </c>
      <c r="E151" s="370">
        <f t="shared" si="31"/>
        <v>0</v>
      </c>
      <c r="F151" s="371">
        <f t="shared" si="32"/>
        <v>0</v>
      </c>
      <c r="G151" s="583">
        <v>28.9</v>
      </c>
      <c r="H151" s="373">
        <f t="shared" si="30"/>
        <v>0</v>
      </c>
      <c r="I151" s="581"/>
      <c r="L151" s="170"/>
    </row>
    <row r="152" spans="1:27" s="51" customFormat="1" ht="15" customHeight="1" outlineLevel="1" x14ac:dyDescent="0.25">
      <c r="A152" s="593">
        <v>45432</v>
      </c>
      <c r="B152" s="656" t="s">
        <v>315</v>
      </c>
      <c r="C152" s="580"/>
      <c r="D152" s="625">
        <v>0.01</v>
      </c>
      <c r="E152" s="370">
        <f t="shared" si="31"/>
        <v>0</v>
      </c>
      <c r="F152" s="371">
        <f t="shared" si="32"/>
        <v>0</v>
      </c>
      <c r="G152" s="583">
        <v>1.18</v>
      </c>
      <c r="H152" s="373">
        <f t="shared" si="30"/>
        <v>0</v>
      </c>
      <c r="I152" s="581"/>
      <c r="L152" s="170"/>
    </row>
    <row r="153" spans="1:27" s="51" customFormat="1" ht="15" customHeight="1" outlineLevel="1" x14ac:dyDescent="0.25">
      <c r="A153" s="593">
        <v>45432</v>
      </c>
      <c r="B153" s="580" t="s">
        <v>317</v>
      </c>
      <c r="C153" s="580"/>
      <c r="D153" s="625">
        <v>0.01</v>
      </c>
      <c r="E153" s="370">
        <f t="shared" si="31"/>
        <v>0</v>
      </c>
      <c r="F153" s="371">
        <f t="shared" si="32"/>
        <v>0</v>
      </c>
      <c r="G153" s="583">
        <v>0.48</v>
      </c>
      <c r="H153" s="373">
        <f t="shared" si="30"/>
        <v>0</v>
      </c>
      <c r="I153" s="581"/>
      <c r="L153" s="170"/>
    </row>
    <row r="154" spans="1:27" s="51" customFormat="1" ht="15" customHeight="1" outlineLevel="1" x14ac:dyDescent="0.25">
      <c r="A154" s="593">
        <v>45432</v>
      </c>
      <c r="B154" s="580" t="s">
        <v>318</v>
      </c>
      <c r="C154" s="580"/>
      <c r="D154" s="625">
        <v>0.01</v>
      </c>
      <c r="E154" s="370">
        <f t="shared" si="31"/>
        <v>0</v>
      </c>
      <c r="F154" s="371">
        <f t="shared" si="32"/>
        <v>0</v>
      </c>
      <c r="G154" s="583">
        <v>0.45</v>
      </c>
      <c r="H154" s="373">
        <f t="shared" si="30"/>
        <v>0</v>
      </c>
      <c r="I154" s="581"/>
      <c r="L154" s="170"/>
      <c r="O154" s="246"/>
    </row>
    <row r="155" spans="1:27" s="51" customFormat="1" ht="15" customHeight="1" outlineLevel="1" x14ac:dyDescent="0.25">
      <c r="A155" s="593">
        <v>45432</v>
      </c>
      <c r="B155" s="580" t="s">
        <v>319</v>
      </c>
      <c r="C155" s="580"/>
      <c r="D155" s="625">
        <v>0.01</v>
      </c>
      <c r="E155" s="370">
        <f t="shared" ref="E155:E156" si="41">C155*D155</f>
        <v>0</v>
      </c>
      <c r="F155" s="371">
        <f t="shared" ref="F155:F156" si="42">E155*$F$5</f>
        <v>0</v>
      </c>
      <c r="G155" s="583">
        <v>0.79</v>
      </c>
      <c r="H155" s="373">
        <f t="shared" si="30"/>
        <v>0</v>
      </c>
      <c r="I155" s="581"/>
      <c r="L155" s="170"/>
      <c r="O155" s="388"/>
      <c r="P155" s="126"/>
    </row>
    <row r="156" spans="1:27" s="51" customFormat="1" ht="15" customHeight="1" outlineLevel="1" x14ac:dyDescent="0.25">
      <c r="A156" s="593">
        <v>45432</v>
      </c>
      <c r="B156" s="580" t="s">
        <v>316</v>
      </c>
      <c r="C156" s="580"/>
      <c r="D156" s="625"/>
      <c r="E156" s="370">
        <f t="shared" si="41"/>
        <v>0</v>
      </c>
      <c r="F156" s="371">
        <f t="shared" si="42"/>
        <v>0</v>
      </c>
      <c r="G156" s="583">
        <v>0.19</v>
      </c>
      <c r="H156" s="373">
        <f t="shared" si="30"/>
        <v>0</v>
      </c>
      <c r="I156" s="581"/>
      <c r="L156" s="170"/>
      <c r="M156" s="246"/>
      <c r="N156" s="246"/>
      <c r="O156" s="388"/>
      <c r="P156" s="126"/>
      <c r="AA156" s="126"/>
    </row>
    <row r="157" spans="1:27" s="51" customFormat="1" ht="15" customHeight="1" outlineLevel="1" x14ac:dyDescent="0.25">
      <c r="A157" s="593"/>
      <c r="B157" s="580" t="s">
        <v>363</v>
      </c>
      <c r="C157" s="580"/>
      <c r="D157" s="625"/>
      <c r="E157" s="370">
        <f t="shared" ref="E157" si="43">C157*D157</f>
        <v>0</v>
      </c>
      <c r="F157" s="371">
        <f t="shared" ref="F157" si="44">E157*$F$5</f>
        <v>0</v>
      </c>
      <c r="G157" s="583">
        <v>9.9499999999999993</v>
      </c>
      <c r="H157" s="373">
        <f t="shared" ref="H157:H172" si="45">C157*G157</f>
        <v>0</v>
      </c>
      <c r="I157" s="581"/>
      <c r="L157" s="170"/>
      <c r="M157" s="388"/>
      <c r="N157" s="388"/>
      <c r="O157" s="388"/>
      <c r="P157" s="126"/>
      <c r="W157"/>
    </row>
    <row r="158" spans="1:27" s="51" customFormat="1" ht="15" customHeight="1" outlineLevel="1" thickBot="1" x14ac:dyDescent="0.3">
      <c r="A158" s="593"/>
      <c r="B158" s="580" t="s">
        <v>178</v>
      </c>
      <c r="C158" s="582"/>
      <c r="D158" s="626">
        <v>0</v>
      </c>
      <c r="E158" s="374">
        <f t="shared" si="31"/>
        <v>0</v>
      </c>
      <c r="F158" s="375">
        <f t="shared" si="32"/>
        <v>0</v>
      </c>
      <c r="G158" s="583"/>
      <c r="H158" s="377">
        <f t="shared" si="45"/>
        <v>0</v>
      </c>
      <c r="I158" s="581"/>
      <c r="L158" s="170"/>
      <c r="M158" s="170"/>
      <c r="N158" s="388"/>
      <c r="O158" s="388"/>
      <c r="P158" s="126"/>
      <c r="W158" s="127"/>
      <c r="AA158"/>
    </row>
    <row r="159" spans="1:27" s="51" customFormat="1" ht="15" customHeight="1" outlineLevel="1" thickBot="1" x14ac:dyDescent="0.3">
      <c r="A159" s="378"/>
      <c r="B159" s="389" t="s">
        <v>257</v>
      </c>
      <c r="C159" s="380"/>
      <c r="D159" s="381"/>
      <c r="E159" s="390">
        <f>SUM(E142:E158)</f>
        <v>0</v>
      </c>
      <c r="F159" s="391">
        <f t="shared" si="32"/>
        <v>0</v>
      </c>
      <c r="G159" s="392"/>
      <c r="H159" s="393">
        <f>SUM(H142:H158)</f>
        <v>0</v>
      </c>
      <c r="I159" s="386"/>
      <c r="L159" s="170"/>
      <c r="M159" s="170"/>
      <c r="N159" s="388"/>
      <c r="O159" s="126"/>
      <c r="P159" s="126"/>
      <c r="Q159" s="126"/>
      <c r="R159" s="126"/>
      <c r="V159"/>
      <c r="W159"/>
      <c r="AA159"/>
    </row>
    <row r="160" spans="1:27" s="51" customFormat="1" ht="15" customHeight="1" outlineLevel="1" x14ac:dyDescent="0.25">
      <c r="A160" s="497"/>
      <c r="B160" s="498" t="s">
        <v>253</v>
      </c>
      <c r="C160" s="627"/>
      <c r="D160" s="628">
        <v>0</v>
      </c>
      <c r="E160" s="394">
        <f t="shared" ref="E160:E161" si="46">C160*D160</f>
        <v>0</v>
      </c>
      <c r="F160" s="499">
        <f t="shared" ref="F160:F161" si="47">E160*$F$5</f>
        <v>0</v>
      </c>
      <c r="G160" s="500"/>
      <c r="H160" s="500">
        <f t="shared" si="45"/>
        <v>0</v>
      </c>
      <c r="I160" s="397"/>
      <c r="L160" s="170"/>
      <c r="M160" s="388"/>
      <c r="N160" s="388"/>
      <c r="R160" s="126"/>
      <c r="V160" s="127"/>
      <c r="W160" s="2"/>
      <c r="AA160"/>
    </row>
    <row r="161" spans="1:27" s="126" customFormat="1" ht="15" customHeight="1" outlineLevel="1" x14ac:dyDescent="0.25">
      <c r="A161" s="594">
        <v>45429</v>
      </c>
      <c r="B161" s="482" t="s">
        <v>249</v>
      </c>
      <c r="C161" s="629"/>
      <c r="D161" s="630">
        <v>2</v>
      </c>
      <c r="E161" s="394">
        <f t="shared" si="46"/>
        <v>0</v>
      </c>
      <c r="F161" s="395">
        <f t="shared" si="47"/>
        <v>0</v>
      </c>
      <c r="G161" s="396">
        <v>20.16</v>
      </c>
      <c r="H161" s="396">
        <f t="shared" si="45"/>
        <v>0</v>
      </c>
      <c r="I161" s="397" t="s">
        <v>306</v>
      </c>
      <c r="O161" s="51"/>
      <c r="P161" s="51"/>
      <c r="Q161"/>
      <c r="R161" s="127"/>
      <c r="V161"/>
      <c r="W161"/>
      <c r="AA161" s="2"/>
    </row>
    <row r="162" spans="1:27" s="51" customFormat="1" ht="15" customHeight="1" outlineLevel="1" x14ac:dyDescent="0.25">
      <c r="A162" s="594">
        <v>45429</v>
      </c>
      <c r="B162" s="483" t="s">
        <v>250</v>
      </c>
      <c r="C162" s="631"/>
      <c r="D162" s="632"/>
      <c r="E162" s="394">
        <f t="shared" ref="E162:E174" si="48">C162*D162</f>
        <v>0</v>
      </c>
      <c r="F162" s="395">
        <f t="shared" ref="F162:F174" si="49">E162*$F$5</f>
        <v>0</v>
      </c>
      <c r="G162" s="396">
        <v>15</v>
      </c>
      <c r="H162" s="396">
        <f t="shared" si="45"/>
        <v>0</v>
      </c>
      <c r="I162" s="397" t="s">
        <v>306</v>
      </c>
      <c r="O162"/>
      <c r="P162"/>
      <c r="Q162"/>
      <c r="R162"/>
      <c r="V162" s="2"/>
      <c r="W162"/>
      <c r="AA162" s="2"/>
    </row>
    <row r="163" spans="1:27" ht="15" customHeight="1" outlineLevel="1" x14ac:dyDescent="0.25">
      <c r="A163" s="594">
        <v>45429</v>
      </c>
      <c r="B163" s="483" t="s">
        <v>285</v>
      </c>
      <c r="C163" s="631"/>
      <c r="D163" s="632"/>
      <c r="E163" s="394">
        <f t="shared" si="48"/>
        <v>0</v>
      </c>
      <c r="F163" s="395">
        <f t="shared" si="49"/>
        <v>0</v>
      </c>
      <c r="G163" s="396">
        <v>18</v>
      </c>
      <c r="H163" s="396">
        <f t="shared" si="45"/>
        <v>0</v>
      </c>
      <c r="I163" s="397" t="s">
        <v>306</v>
      </c>
      <c r="M163" s="186"/>
      <c r="N163" s="51"/>
      <c r="AA163" s="2"/>
    </row>
    <row r="164" spans="1:27" ht="15" customHeight="1" outlineLevel="1" x14ac:dyDescent="0.25">
      <c r="A164" s="594">
        <v>45429</v>
      </c>
      <c r="B164" s="483" t="s">
        <v>286</v>
      </c>
      <c r="C164" s="631"/>
      <c r="D164" s="632"/>
      <c r="E164" s="394">
        <f t="shared" si="48"/>
        <v>0</v>
      </c>
      <c r="F164" s="395">
        <f t="shared" si="49"/>
        <v>0</v>
      </c>
      <c r="G164" s="396">
        <v>20</v>
      </c>
      <c r="H164" s="396">
        <f t="shared" si="45"/>
        <v>0</v>
      </c>
      <c r="I164" s="397" t="s">
        <v>306</v>
      </c>
      <c r="Q164" s="2"/>
      <c r="R164" s="2"/>
    </row>
    <row r="165" spans="1:27" ht="15" customHeight="1" outlineLevel="1" x14ac:dyDescent="0.25">
      <c r="A165" s="594">
        <v>45429</v>
      </c>
      <c r="B165" s="482" t="s">
        <v>251</v>
      </c>
      <c r="C165" s="631"/>
      <c r="D165" s="632"/>
      <c r="E165" s="394">
        <f t="shared" si="48"/>
        <v>0</v>
      </c>
      <c r="F165" s="395">
        <f t="shared" si="49"/>
        <v>0</v>
      </c>
      <c r="G165" s="396">
        <v>30</v>
      </c>
      <c r="H165" s="396">
        <f t="shared" ref="H165:H169" si="50">C165*G165</f>
        <v>0</v>
      </c>
      <c r="I165" s="397" t="s">
        <v>306</v>
      </c>
      <c r="M165" s="398"/>
      <c r="Q165" s="2"/>
      <c r="R165" s="2"/>
      <c r="AA165" s="2"/>
    </row>
    <row r="166" spans="1:27" s="2" customFormat="1" ht="15" customHeight="1" outlineLevel="1" x14ac:dyDescent="0.25">
      <c r="A166" s="594">
        <v>45429</v>
      </c>
      <c r="B166" s="483" t="s">
        <v>314</v>
      </c>
      <c r="C166" s="631"/>
      <c r="D166" s="632"/>
      <c r="E166" s="394">
        <f t="shared" si="48"/>
        <v>0</v>
      </c>
      <c r="F166" s="395">
        <f t="shared" si="49"/>
        <v>0</v>
      </c>
      <c r="G166" s="396">
        <v>40</v>
      </c>
      <c r="H166" s="396">
        <f t="shared" si="50"/>
        <v>0</v>
      </c>
      <c r="I166" s="397" t="s">
        <v>306</v>
      </c>
      <c r="M166" s="1"/>
      <c r="N166"/>
      <c r="O166"/>
      <c r="P166"/>
      <c r="V166"/>
      <c r="W166"/>
    </row>
    <row r="167" spans="1:27" s="2" customFormat="1" ht="15" customHeight="1" outlineLevel="1" x14ac:dyDescent="0.25">
      <c r="A167" s="594">
        <v>45429</v>
      </c>
      <c r="B167" s="483" t="s">
        <v>252</v>
      </c>
      <c r="C167" s="631"/>
      <c r="D167" s="632"/>
      <c r="E167" s="394">
        <f t="shared" si="48"/>
        <v>0</v>
      </c>
      <c r="F167" s="395">
        <f t="shared" si="49"/>
        <v>0</v>
      </c>
      <c r="G167" s="396">
        <v>88</v>
      </c>
      <c r="H167" s="396">
        <f t="shared" si="50"/>
        <v>0</v>
      </c>
      <c r="I167" s="397" t="s">
        <v>306</v>
      </c>
      <c r="M167" s="1"/>
      <c r="N167"/>
      <c r="O167"/>
      <c r="P167"/>
      <c r="Q167"/>
      <c r="R167"/>
      <c r="V167"/>
      <c r="W167"/>
      <c r="AA167"/>
    </row>
    <row r="168" spans="1:27" s="2" customFormat="1" ht="15" customHeight="1" outlineLevel="1" x14ac:dyDescent="0.25">
      <c r="A168" s="594">
        <v>45429</v>
      </c>
      <c r="B168" s="483" t="s">
        <v>309</v>
      </c>
      <c r="C168" s="631"/>
      <c r="D168" s="632"/>
      <c r="E168" s="394">
        <f t="shared" si="48"/>
        <v>0</v>
      </c>
      <c r="F168" s="395">
        <f t="shared" si="49"/>
        <v>0</v>
      </c>
      <c r="G168" s="396">
        <v>11.1</v>
      </c>
      <c r="H168" s="396">
        <f t="shared" si="50"/>
        <v>0</v>
      </c>
      <c r="I168" s="397" t="s">
        <v>306</v>
      </c>
      <c r="M168" s="1"/>
      <c r="N168"/>
      <c r="O168"/>
      <c r="P168"/>
      <c r="V168"/>
      <c r="W168"/>
      <c r="AA168"/>
    </row>
    <row r="169" spans="1:27" ht="15" customHeight="1" outlineLevel="1" x14ac:dyDescent="0.25">
      <c r="A169" s="594">
        <v>45429</v>
      </c>
      <c r="B169" s="595" t="s">
        <v>308</v>
      </c>
      <c r="C169" s="631">
        <v>0</v>
      </c>
      <c r="D169" s="633"/>
      <c r="E169" s="496">
        <f t="shared" si="48"/>
        <v>0</v>
      </c>
      <c r="F169" s="395">
        <f t="shared" si="49"/>
        <v>0</v>
      </c>
      <c r="G169" s="596">
        <v>16.649999999999999</v>
      </c>
      <c r="H169" s="396">
        <f t="shared" si="50"/>
        <v>0</v>
      </c>
      <c r="I169" s="596" t="s">
        <v>306</v>
      </c>
      <c r="M169" s="398"/>
      <c r="Q169" s="2"/>
      <c r="R169" s="2"/>
    </row>
    <row r="170" spans="1:27" s="2" customFormat="1" ht="15" customHeight="1" outlineLevel="1" x14ac:dyDescent="0.25">
      <c r="A170" s="594">
        <v>45429</v>
      </c>
      <c r="B170" s="595" t="s">
        <v>307</v>
      </c>
      <c r="C170" s="631"/>
      <c r="D170" s="633">
        <v>4</v>
      </c>
      <c r="E170" s="496">
        <f t="shared" si="48"/>
        <v>0</v>
      </c>
      <c r="F170" s="395">
        <f t="shared" si="49"/>
        <v>0</v>
      </c>
      <c r="G170" s="596">
        <v>51.66</v>
      </c>
      <c r="H170" s="396">
        <f t="shared" si="45"/>
        <v>0</v>
      </c>
      <c r="I170" s="596" t="s">
        <v>306</v>
      </c>
      <c r="M170" s="1"/>
      <c r="N170"/>
      <c r="V170"/>
      <c r="W170"/>
      <c r="AA170"/>
    </row>
    <row r="171" spans="1:27" s="2" customFormat="1" ht="15" customHeight="1" outlineLevel="1" x14ac:dyDescent="0.25">
      <c r="A171" s="594">
        <v>45429</v>
      </c>
      <c r="B171" s="595" t="s">
        <v>313</v>
      </c>
      <c r="C171" s="631"/>
      <c r="D171" s="633"/>
      <c r="E171" s="496">
        <f t="shared" si="48"/>
        <v>0</v>
      </c>
      <c r="F171" s="395">
        <f t="shared" si="49"/>
        <v>0</v>
      </c>
      <c r="G171" s="596">
        <v>65</v>
      </c>
      <c r="H171" s="396">
        <f t="shared" si="45"/>
        <v>0</v>
      </c>
      <c r="I171" s="596" t="s">
        <v>306</v>
      </c>
      <c r="M171" s="1"/>
      <c r="N171"/>
      <c r="O171"/>
      <c r="V171"/>
      <c r="W171"/>
      <c r="AA171"/>
    </row>
    <row r="172" spans="1:27" ht="15" customHeight="1" outlineLevel="1" x14ac:dyDescent="0.25">
      <c r="A172" s="594"/>
      <c r="B172" s="595"/>
      <c r="C172" s="631"/>
      <c r="D172" s="633"/>
      <c r="E172" s="496"/>
      <c r="F172" s="395"/>
      <c r="G172" s="596"/>
      <c r="H172" s="396">
        <f t="shared" si="45"/>
        <v>0</v>
      </c>
      <c r="I172" s="596"/>
      <c r="M172" s="240"/>
      <c r="N172" s="2"/>
      <c r="P172" s="2"/>
      <c r="Q172" s="2"/>
      <c r="R172" s="2"/>
      <c r="S172" s="2"/>
    </row>
    <row r="173" spans="1:27" ht="15" customHeight="1" outlineLevel="1" x14ac:dyDescent="0.3">
      <c r="A173" s="594">
        <v>45429</v>
      </c>
      <c r="B173" s="483" t="s">
        <v>287</v>
      </c>
      <c r="C173" s="631"/>
      <c r="D173" s="632"/>
      <c r="E173" s="394">
        <f t="shared" si="48"/>
        <v>0</v>
      </c>
      <c r="F173" s="395">
        <f t="shared" si="49"/>
        <v>0</v>
      </c>
      <c r="G173" s="396">
        <v>10</v>
      </c>
      <c r="H173" s="396">
        <f t="shared" ref="H173:H174" si="51">C173*G173</f>
        <v>0</v>
      </c>
      <c r="I173" s="484" t="s">
        <v>306</v>
      </c>
      <c r="O173" s="405"/>
      <c r="P173" s="2"/>
      <c r="Q173" s="2"/>
      <c r="R173" s="2"/>
      <c r="S173" s="2"/>
    </row>
    <row r="174" spans="1:27" ht="15" customHeight="1" outlineLevel="1" thickBot="1" x14ac:dyDescent="0.3">
      <c r="A174" s="594">
        <v>45429</v>
      </c>
      <c r="B174" s="485" t="s">
        <v>288</v>
      </c>
      <c r="C174" s="634"/>
      <c r="D174" s="635"/>
      <c r="E174" s="486">
        <f t="shared" si="48"/>
        <v>0</v>
      </c>
      <c r="F174" s="487">
        <f t="shared" si="49"/>
        <v>0</v>
      </c>
      <c r="G174" s="488">
        <v>50</v>
      </c>
      <c r="H174" s="488">
        <f t="shared" si="51"/>
        <v>0</v>
      </c>
      <c r="I174" s="489" t="s">
        <v>306</v>
      </c>
      <c r="L174" s="72"/>
      <c r="O174" s="406"/>
      <c r="P174" s="2"/>
      <c r="Q174" s="2"/>
      <c r="R174" s="2"/>
      <c r="S174" s="2"/>
    </row>
    <row r="175" spans="1:27" ht="15" customHeight="1" outlineLevel="1" thickBot="1" x14ac:dyDescent="0.35">
      <c r="A175" s="494"/>
      <c r="B175" s="399" t="s">
        <v>258</v>
      </c>
      <c r="C175" s="400"/>
      <c r="D175" s="636"/>
      <c r="E175" s="401">
        <f>SUM(E161:E174)</f>
        <v>0</v>
      </c>
      <c r="F175" s="402">
        <f>SUM(F161:F174)</f>
        <v>0</v>
      </c>
      <c r="G175" s="403"/>
      <c r="H175" s="403">
        <f>SUM(H161:H174)</f>
        <v>0</v>
      </c>
      <c r="I175" s="404"/>
      <c r="J175" s="1"/>
      <c r="K175" s="1"/>
      <c r="L175" s="1"/>
      <c r="M175" s="72"/>
      <c r="N175" s="405"/>
      <c r="P175" s="2"/>
      <c r="Q175" s="2"/>
      <c r="R175" s="2"/>
      <c r="S175" s="2"/>
    </row>
    <row r="176" spans="1:27" ht="15" customHeight="1" outlineLevel="1" x14ac:dyDescent="0.25">
      <c r="A176" s="599"/>
      <c r="B176" s="600" t="s">
        <v>212</v>
      </c>
      <c r="C176" s="638"/>
      <c r="D176" s="637"/>
      <c r="E176" s="601"/>
      <c r="F176" s="601"/>
      <c r="G176" s="602"/>
      <c r="H176" s="602"/>
      <c r="I176" s="603"/>
      <c r="M176" s="1"/>
      <c r="N176" s="406"/>
      <c r="P176" s="2"/>
      <c r="S176" s="2"/>
    </row>
    <row r="177" spans="1:19" ht="15" customHeight="1" outlineLevel="1" x14ac:dyDescent="0.25">
      <c r="A177" s="604"/>
      <c r="B177" s="597" t="s">
        <v>255</v>
      </c>
      <c r="C177" s="639"/>
      <c r="D177" s="640"/>
      <c r="E177" s="407">
        <f t="shared" ref="E177:E184" si="52">C177*D177</f>
        <v>0</v>
      </c>
      <c r="F177" s="408">
        <f t="shared" ref="F177:F184" si="53">E177*$F$5</f>
        <v>0</v>
      </c>
      <c r="G177" s="598">
        <v>0.25</v>
      </c>
      <c r="H177" s="409">
        <f t="shared" ref="H177:H184" si="54">C177*G177</f>
        <v>0</v>
      </c>
      <c r="I177" s="605"/>
      <c r="O177" s="1"/>
      <c r="S177" s="2"/>
    </row>
    <row r="178" spans="1:19" ht="15" customHeight="1" outlineLevel="1" x14ac:dyDescent="0.25">
      <c r="A178" s="604"/>
      <c r="B178" s="597" t="s">
        <v>310</v>
      </c>
      <c r="C178" s="639">
        <v>0</v>
      </c>
      <c r="D178" s="640"/>
      <c r="E178" s="407">
        <f t="shared" si="52"/>
        <v>0</v>
      </c>
      <c r="F178" s="408">
        <f t="shared" si="53"/>
        <v>0</v>
      </c>
      <c r="G178" s="598">
        <v>20</v>
      </c>
      <c r="H178" s="409">
        <f t="shared" si="54"/>
        <v>0</v>
      </c>
      <c r="I178" s="605"/>
      <c r="J178" s="1"/>
      <c r="K178" s="1"/>
      <c r="L178" s="1"/>
    </row>
    <row r="179" spans="1:19" ht="15" customHeight="1" outlineLevel="1" x14ac:dyDescent="0.25">
      <c r="A179" s="604"/>
      <c r="B179" s="597" t="s">
        <v>254</v>
      </c>
      <c r="C179" s="639"/>
      <c r="D179" s="640"/>
      <c r="E179" s="407">
        <f t="shared" si="52"/>
        <v>0</v>
      </c>
      <c r="F179" s="408">
        <f t="shared" si="53"/>
        <v>0</v>
      </c>
      <c r="G179" s="598"/>
      <c r="H179" s="409">
        <f t="shared" si="54"/>
        <v>0</v>
      </c>
      <c r="I179" s="605"/>
      <c r="M179" s="1"/>
      <c r="N179" s="1"/>
    </row>
    <row r="180" spans="1:19" ht="15" customHeight="1" outlineLevel="1" x14ac:dyDescent="0.25">
      <c r="A180" s="604"/>
      <c r="B180" s="597" t="s">
        <v>280</v>
      </c>
      <c r="C180" s="639"/>
      <c r="D180" s="640">
        <v>0.75</v>
      </c>
      <c r="E180" s="407">
        <f t="shared" si="52"/>
        <v>0</v>
      </c>
      <c r="F180" s="408">
        <f t="shared" si="53"/>
        <v>0</v>
      </c>
      <c r="G180" s="598">
        <v>5</v>
      </c>
      <c r="H180" s="409">
        <f t="shared" si="54"/>
        <v>0</v>
      </c>
      <c r="I180" s="605"/>
    </row>
    <row r="181" spans="1:19" ht="15" customHeight="1" outlineLevel="1" x14ac:dyDescent="0.25">
      <c r="A181" s="604"/>
      <c r="B181" s="597" t="s">
        <v>311</v>
      </c>
      <c r="C181" s="639"/>
      <c r="D181" s="640"/>
      <c r="E181" s="407">
        <f t="shared" si="52"/>
        <v>0</v>
      </c>
      <c r="F181" s="408">
        <f t="shared" si="53"/>
        <v>0</v>
      </c>
      <c r="G181" s="598">
        <v>50</v>
      </c>
      <c r="H181" s="409">
        <f t="shared" si="54"/>
        <v>0</v>
      </c>
      <c r="I181" s="605"/>
    </row>
    <row r="182" spans="1:19" outlineLevel="1" x14ac:dyDescent="0.25">
      <c r="A182" s="604"/>
      <c r="B182" s="597" t="s">
        <v>312</v>
      </c>
      <c r="C182" s="639"/>
      <c r="D182" s="640"/>
      <c r="E182" s="407">
        <f t="shared" si="52"/>
        <v>0</v>
      </c>
      <c r="F182" s="408">
        <f t="shared" si="53"/>
        <v>0</v>
      </c>
      <c r="G182" s="598">
        <v>50</v>
      </c>
      <c r="H182" s="409">
        <f t="shared" si="54"/>
        <v>0</v>
      </c>
      <c r="I182" s="605"/>
    </row>
    <row r="183" spans="1:19" outlineLevel="1" x14ac:dyDescent="0.25">
      <c r="A183" s="604"/>
      <c r="B183" s="597"/>
      <c r="C183" s="642"/>
      <c r="D183" s="641"/>
      <c r="E183" s="407">
        <f t="shared" si="52"/>
        <v>0</v>
      </c>
      <c r="F183" s="408">
        <f t="shared" si="53"/>
        <v>0</v>
      </c>
      <c r="G183" s="598"/>
      <c r="H183" s="409">
        <f t="shared" si="54"/>
        <v>0</v>
      </c>
      <c r="I183" s="605"/>
      <c r="J183" s="127"/>
    </row>
    <row r="184" spans="1:19" ht="13.8" outlineLevel="1" thickBot="1" x14ac:dyDescent="0.3">
      <c r="A184" s="606"/>
      <c r="B184" s="607"/>
      <c r="C184" s="644"/>
      <c r="D184" s="643"/>
      <c r="E184" s="608">
        <f t="shared" si="52"/>
        <v>0</v>
      </c>
      <c r="F184" s="609">
        <f t="shared" si="53"/>
        <v>0</v>
      </c>
      <c r="G184" s="610"/>
      <c r="H184" s="611">
        <f t="shared" si="54"/>
        <v>0</v>
      </c>
      <c r="I184" s="612"/>
      <c r="J184" s="410"/>
      <c r="K184" s="127"/>
    </row>
    <row r="185" spans="1:19" ht="13.8" outlineLevel="1" thickBot="1" x14ac:dyDescent="0.3">
      <c r="A185" s="411"/>
      <c r="B185" s="412"/>
      <c r="C185" s="412"/>
      <c r="D185" s="412"/>
      <c r="E185" s="412">
        <f>SUM(E177:E184)</f>
        <v>0</v>
      </c>
      <c r="F185" s="412">
        <f>SUM(F177:F184)</f>
        <v>0</v>
      </c>
      <c r="G185" s="413"/>
      <c r="H185" s="414">
        <f>SUM(H177:H184)</f>
        <v>0</v>
      </c>
      <c r="I185" s="415"/>
      <c r="J185" s="410"/>
      <c r="K185" s="127"/>
    </row>
    <row r="186" spans="1:19" ht="13.8" outlineLevel="1" thickBot="1" x14ac:dyDescent="0.3">
      <c r="J186" s="410"/>
      <c r="K186" s="127"/>
    </row>
    <row r="187" spans="1:19" ht="13.8" thickBot="1" x14ac:dyDescent="0.3">
      <c r="C187" s="495" t="s">
        <v>7</v>
      </c>
      <c r="D187" s="416" t="s">
        <v>180</v>
      </c>
      <c r="E187" s="416" t="s">
        <v>179</v>
      </c>
      <c r="F187" s="417" t="s">
        <v>8</v>
      </c>
      <c r="G187" s="418" t="s">
        <v>279</v>
      </c>
      <c r="J187" s="410"/>
      <c r="K187" s="127"/>
    </row>
    <row r="188" spans="1:19" x14ac:dyDescent="0.25">
      <c r="B188" s="419" t="s">
        <v>262</v>
      </c>
      <c r="C188" s="420">
        <f>(E38+E42+E46)</f>
        <v>0</v>
      </c>
      <c r="D188" s="421">
        <f t="shared" ref="D188:D193" si="55">C188*$F$5</f>
        <v>0</v>
      </c>
      <c r="E188" s="422">
        <f>H38+H42+H46</f>
        <v>0</v>
      </c>
      <c r="F188" s="423">
        <f>SUM(D188:E188)</f>
        <v>0</v>
      </c>
      <c r="G188" s="669" t="e">
        <f>SUM(F188+F191+F192)/C28</f>
        <v>#DIV/0!</v>
      </c>
      <c r="H188" s="127" t="s">
        <v>295</v>
      </c>
      <c r="I188" s="127"/>
    </row>
    <row r="189" spans="1:19" x14ac:dyDescent="0.25">
      <c r="B189" s="651" t="s">
        <v>261</v>
      </c>
      <c r="C189" s="649">
        <f>(E50+E54+E58)</f>
        <v>0</v>
      </c>
      <c r="D189" s="650">
        <f t="shared" si="55"/>
        <v>0</v>
      </c>
      <c r="E189" s="650">
        <f>(H50+H54+H58)</f>
        <v>0</v>
      </c>
      <c r="F189" s="652">
        <f>D189+E189</f>
        <v>0</v>
      </c>
      <c r="G189" s="670"/>
      <c r="H189" s="127" t="s">
        <v>297</v>
      </c>
      <c r="I189" s="127"/>
    </row>
    <row r="190" spans="1:19" ht="13.8" thickBot="1" x14ac:dyDescent="0.3">
      <c r="B190" s="651" t="s">
        <v>266</v>
      </c>
      <c r="C190" s="649">
        <f>(E62+E65+E76)</f>
        <v>0</v>
      </c>
      <c r="D190" s="650">
        <f t="shared" si="55"/>
        <v>0</v>
      </c>
      <c r="E190" s="650">
        <f>(H62+H65+H76)</f>
        <v>0</v>
      </c>
      <c r="F190" s="652">
        <f>D190+E190</f>
        <v>0</v>
      </c>
      <c r="G190" s="671"/>
      <c r="H190" s="127" t="s">
        <v>296</v>
      </c>
      <c r="I190" s="127"/>
    </row>
    <row r="191" spans="1:19" x14ac:dyDescent="0.25">
      <c r="B191" s="424" t="s">
        <v>263</v>
      </c>
      <c r="C191" s="425">
        <f>$E$28</f>
        <v>0</v>
      </c>
      <c r="D191" s="426">
        <f t="shared" si="55"/>
        <v>0</v>
      </c>
      <c r="E191" s="427"/>
      <c r="F191" s="428">
        <f t="shared" ref="F191:F195" si="56">D191+E191</f>
        <v>0</v>
      </c>
      <c r="G191" s="621"/>
      <c r="I191" s="127"/>
    </row>
    <row r="192" spans="1:19" x14ac:dyDescent="0.25">
      <c r="B192" s="424" t="s">
        <v>274</v>
      </c>
      <c r="C192" s="429">
        <f>E131</f>
        <v>0</v>
      </c>
      <c r="D192" s="426">
        <f t="shared" si="55"/>
        <v>0</v>
      </c>
      <c r="E192" s="426">
        <f>H131</f>
        <v>0</v>
      </c>
      <c r="F192" s="428">
        <f t="shared" si="56"/>
        <v>0</v>
      </c>
      <c r="I192" s="127"/>
    </row>
    <row r="193" spans="2:9" x14ac:dyDescent="0.25">
      <c r="B193" s="424" t="s">
        <v>291</v>
      </c>
      <c r="C193" s="429">
        <f>E140</f>
        <v>0</v>
      </c>
      <c r="D193" s="426">
        <f t="shared" si="55"/>
        <v>0</v>
      </c>
      <c r="E193" s="426">
        <f>H140</f>
        <v>0</v>
      </c>
      <c r="F193" s="428">
        <f t="shared" si="56"/>
        <v>0</v>
      </c>
      <c r="I193" s="127"/>
    </row>
    <row r="194" spans="2:9" x14ac:dyDescent="0.25">
      <c r="B194" s="424" t="s">
        <v>275</v>
      </c>
      <c r="C194" s="429">
        <f>E159</f>
        <v>0</v>
      </c>
      <c r="D194" s="434">
        <f>C194*$F$5</f>
        <v>0</v>
      </c>
      <c r="E194" s="434">
        <f>H159</f>
        <v>0</v>
      </c>
      <c r="F194" s="435">
        <f t="shared" ref="F194" si="57">D194+E194</f>
        <v>0</v>
      </c>
      <c r="I194" s="127"/>
    </row>
    <row r="195" spans="2:9" x14ac:dyDescent="0.25">
      <c r="B195" s="430" t="s">
        <v>273</v>
      </c>
      <c r="C195" s="431">
        <f>E121</f>
        <v>0</v>
      </c>
      <c r="D195" s="432">
        <f>C195*F5</f>
        <v>0</v>
      </c>
      <c r="E195" s="432">
        <f>H121</f>
        <v>0</v>
      </c>
      <c r="F195" s="433">
        <f t="shared" si="56"/>
        <v>0</v>
      </c>
    </row>
    <row r="196" spans="2:9" x14ac:dyDescent="0.25">
      <c r="B196" s="436" t="s">
        <v>276</v>
      </c>
      <c r="C196" s="437">
        <f>E175</f>
        <v>0</v>
      </c>
      <c r="D196" s="438">
        <f>C196*F5</f>
        <v>0</v>
      </c>
      <c r="E196" s="438">
        <f>H175</f>
        <v>0</v>
      </c>
      <c r="F196" s="439">
        <f>SUM(H175)</f>
        <v>0</v>
      </c>
    </row>
    <row r="197" spans="2:9" ht="13.8" thickBot="1" x14ac:dyDescent="0.3">
      <c r="B197" s="440" t="s">
        <v>256</v>
      </c>
      <c r="C197" s="441">
        <f>E185</f>
        <v>0</v>
      </c>
      <c r="D197" s="442">
        <f>F185</f>
        <v>0</v>
      </c>
      <c r="E197" s="443">
        <f>H185</f>
        <v>0</v>
      </c>
      <c r="F197" s="444">
        <f>H185</f>
        <v>0</v>
      </c>
    </row>
    <row r="198" spans="2:9" x14ac:dyDescent="0.25">
      <c r="B198" s="445"/>
      <c r="C198" s="645"/>
      <c r="D198" s="646" t="s">
        <v>277</v>
      </c>
      <c r="E198" s="647">
        <f>CEILING(SUM(C188:C197),4)</f>
        <v>0</v>
      </c>
      <c r="F198" s="648">
        <f>E198*$F$5</f>
        <v>0</v>
      </c>
    </row>
    <row r="199" spans="2:9" ht="13.8" thickBot="1" x14ac:dyDescent="0.3">
      <c r="B199" s="445"/>
      <c r="C199" s="446"/>
      <c r="D199" s="447" t="s">
        <v>278</v>
      </c>
      <c r="E199" s="448"/>
      <c r="F199" s="449">
        <f>SUM(E188:E197)</f>
        <v>0</v>
      </c>
      <c r="H199" s="445"/>
      <c r="I199" s="127"/>
    </row>
    <row r="200" spans="2:9" ht="13.8" thickBot="1" x14ac:dyDescent="0.3">
      <c r="D200" s="450"/>
      <c r="E200" s="451" t="s">
        <v>259</v>
      </c>
      <c r="F200" s="452">
        <f>SUM(F198:F199)</f>
        <v>0</v>
      </c>
    </row>
  </sheetData>
  <protectedRanges>
    <protectedRange sqref="A33:A37 C37:D37 G37 A39:A41 C39:C41 A43:A45 C43:C45 A48:A49 C47:C49 A51:A53 C51:C53 A55:A57 C55:C57 A60:A61 C60:C61 A63:A64 C63:C64 A67:A75 B72:B75 C67:C75 D72:D75" name="Cable"/>
    <protectedRange sqref="A10:A27 B26:B27 C10:C27 D26:D27 I9:I27" name="Devices"/>
  </protectedRanges>
  <mergeCells count="4">
    <mergeCell ref="B4:B5"/>
    <mergeCell ref="A6:A8"/>
    <mergeCell ref="I4:I5"/>
    <mergeCell ref="G188:G190"/>
  </mergeCells>
  <dataValidations count="3">
    <dataValidation type="list" allowBlank="1" showInputMessage="1" showErrorMessage="1" sqref="B33" xr:uid="{1182BF64-C614-44F7-845F-6FDEC66EE59E}">
      <formula1>$U$32:$U$33</formula1>
    </dataValidation>
    <dataValidation type="list" allowBlank="1" showInputMessage="1" showErrorMessage="1" promptTitle="m/point" sqref="A33" xr:uid="{6817C984-E4BF-4232-8F34-5200F70784A6}">
      <formula1>$V$32:$V$40</formula1>
    </dataValidation>
    <dataValidation type="list" allowBlank="1" showInputMessage="1" showErrorMessage="1" sqref="C33" xr:uid="{E2091891-281E-4677-A9AF-BADEFA41F219}">
      <formula1>$W$32:$W$43</formula1>
    </dataValidation>
  </dataValidations>
  <printOptions horizontalCentered="1"/>
  <pageMargins left="3.937007874015748E-2" right="3.937007874015748E-2" top="0.31496062992125984" bottom="3.937007874015748E-2" header="0.51181102362204722" footer="0.51181102362204722"/>
  <pageSetup paperSize="9" scale="7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E965-4905-49C1-A88F-D1DFE4F1B0CA}">
  <sheetPr>
    <pageSetUpPr fitToPage="1"/>
  </sheetPr>
  <dimension ref="A1:AB135"/>
  <sheetViews>
    <sheetView showZeros="0" zoomScale="80" workbookViewId="0">
      <pane xSplit="18" ySplit="8" topLeftCell="S9" activePane="bottomRight" state="frozen"/>
      <selection pane="topRight" activeCell="S1" sqref="S1"/>
      <selection pane="bottomLeft" activeCell="A9" sqref="A9"/>
      <selection pane="bottomRight" activeCell="E35" sqref="E35"/>
    </sheetView>
  </sheetViews>
  <sheetFormatPr defaultRowHeight="13.2" x14ac:dyDescent="0.25"/>
  <cols>
    <col min="1" max="3" width="10.6640625" style="1" customWidth="1"/>
    <col min="4" max="4" width="43.33203125" style="1" customWidth="1"/>
    <col min="5" max="5" width="10.6640625" style="1" customWidth="1"/>
    <col min="6" max="7" width="8.6640625" style="1" customWidth="1"/>
    <col min="8" max="8" width="2.109375" style="1" customWidth="1"/>
    <col min="9" max="9" width="11.6640625" style="1" customWidth="1"/>
    <col min="10" max="11" width="10.6640625" style="1" customWidth="1"/>
    <col min="12" max="12" width="8.6640625" customWidth="1"/>
    <col min="13" max="13" width="10.109375" customWidth="1"/>
    <col min="14" max="14" width="2.109375" customWidth="1"/>
    <col min="15" max="15" width="10.88671875" customWidth="1"/>
    <col min="16" max="18" width="10.6640625" customWidth="1"/>
    <col min="19" max="19" width="14.109375" customWidth="1"/>
    <col min="20" max="21" width="9.109375" hidden="1" customWidth="1"/>
    <col min="23" max="23" width="22.44140625" customWidth="1"/>
    <col min="24" max="24" width="16.5546875" customWidth="1"/>
  </cols>
  <sheetData>
    <row r="1" spans="1:24" x14ac:dyDescent="0.25">
      <c r="A1" s="2" t="s">
        <v>28</v>
      </c>
      <c r="C1" s="6"/>
      <c r="D1" s="3"/>
      <c r="I1" s="680" t="s">
        <v>27</v>
      </c>
      <c r="J1" s="680"/>
      <c r="K1" s="6"/>
      <c r="L1" s="4"/>
      <c r="P1" s="2" t="s">
        <v>26</v>
      </c>
      <c r="Q1" s="7"/>
      <c r="R1" s="3" t="s">
        <v>25</v>
      </c>
      <c r="S1" s="7"/>
    </row>
    <row r="2" spans="1:24" ht="22.5" customHeight="1" x14ac:dyDescent="0.4">
      <c r="A2" s="168" t="s">
        <v>168</v>
      </c>
      <c r="B2" s="167"/>
      <c r="C2" s="5"/>
      <c r="D2" s="14" t="s">
        <v>33</v>
      </c>
      <c r="E2" s="5"/>
      <c r="F2" s="5"/>
      <c r="G2" s="5"/>
      <c r="H2" s="5"/>
      <c r="I2" s="5"/>
      <c r="J2" s="5"/>
      <c r="K2" s="5"/>
      <c r="L2" s="8"/>
      <c r="M2" s="8"/>
      <c r="N2" s="8"/>
      <c r="O2" s="8"/>
      <c r="P2" s="8"/>
      <c r="Q2" s="8"/>
      <c r="R2" s="8"/>
      <c r="S2" s="8"/>
    </row>
    <row r="3" spans="1:24" ht="13.8" thickBot="1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9"/>
      <c r="M3" s="9"/>
      <c r="N3" s="9"/>
      <c r="O3" s="9"/>
      <c r="P3" s="9"/>
      <c r="Q3" s="9"/>
      <c r="R3" s="9"/>
      <c r="S3" s="9"/>
    </row>
    <row r="4" spans="1:24" x14ac:dyDescent="0.25">
      <c r="A4" s="15"/>
      <c r="B4" s="16"/>
      <c r="C4" s="40" t="s">
        <v>51</v>
      </c>
      <c r="D4" s="42"/>
      <c r="E4" s="17"/>
      <c r="F4" s="681" t="s">
        <v>18</v>
      </c>
      <c r="G4" s="682"/>
      <c r="H4" s="682"/>
      <c r="I4" s="683"/>
      <c r="J4" s="684" t="s">
        <v>20</v>
      </c>
      <c r="K4" s="685"/>
      <c r="L4" s="681" t="s">
        <v>21</v>
      </c>
      <c r="M4" s="682"/>
      <c r="N4" s="682"/>
      <c r="O4" s="683"/>
      <c r="P4" s="681" t="s">
        <v>23</v>
      </c>
      <c r="Q4" s="683"/>
      <c r="R4" s="682" t="s">
        <v>24</v>
      </c>
      <c r="S4" s="683"/>
    </row>
    <row r="5" spans="1:24" x14ac:dyDescent="0.25">
      <c r="A5" s="18"/>
      <c r="B5" s="19"/>
      <c r="C5" s="41"/>
      <c r="D5" s="43"/>
      <c r="E5" s="20"/>
      <c r="F5" s="21"/>
      <c r="G5" s="22"/>
      <c r="H5" s="23" t="s">
        <v>17</v>
      </c>
      <c r="I5" s="219">
        <v>43</v>
      </c>
      <c r="J5" s="672" t="s">
        <v>19</v>
      </c>
      <c r="K5" s="673"/>
      <c r="L5" s="24"/>
      <c r="M5" s="25"/>
      <c r="N5" s="23" t="s">
        <v>22</v>
      </c>
      <c r="O5" s="11">
        <v>0</v>
      </c>
      <c r="P5" s="674" t="s">
        <v>19</v>
      </c>
      <c r="Q5" s="675"/>
      <c r="R5" s="674" t="s">
        <v>19</v>
      </c>
      <c r="S5" s="675"/>
    </row>
    <row r="6" spans="1:24" x14ac:dyDescent="0.25">
      <c r="A6" s="26" t="s">
        <v>0</v>
      </c>
      <c r="B6" s="27" t="s">
        <v>2</v>
      </c>
      <c r="C6" s="27" t="s">
        <v>4</v>
      </c>
      <c r="D6" s="28" t="s">
        <v>34</v>
      </c>
      <c r="E6" s="29"/>
      <c r="F6" s="30" t="s">
        <v>6</v>
      </c>
      <c r="G6" s="31" t="s">
        <v>8</v>
      </c>
      <c r="H6" s="676" t="s">
        <v>9</v>
      </c>
      <c r="I6" s="677"/>
      <c r="J6" s="30" t="s">
        <v>9</v>
      </c>
      <c r="K6" s="29" t="s">
        <v>9</v>
      </c>
      <c r="L6" s="30" t="s">
        <v>12</v>
      </c>
      <c r="M6" s="31" t="s">
        <v>12</v>
      </c>
      <c r="N6" s="676" t="s">
        <v>9</v>
      </c>
      <c r="O6" s="677"/>
      <c r="P6" s="30" t="s">
        <v>9</v>
      </c>
      <c r="Q6" s="29" t="s">
        <v>9</v>
      </c>
      <c r="R6" s="32" t="s">
        <v>13</v>
      </c>
      <c r="S6" s="29" t="s">
        <v>13</v>
      </c>
    </row>
    <row r="7" spans="1:24" x14ac:dyDescent="0.25">
      <c r="A7" s="33" t="s">
        <v>1</v>
      </c>
      <c r="B7" s="34" t="s">
        <v>3</v>
      </c>
      <c r="C7" s="34" t="s">
        <v>1</v>
      </c>
      <c r="D7" s="35"/>
      <c r="E7" s="36" t="s">
        <v>5</v>
      </c>
      <c r="F7" s="37" t="s">
        <v>7</v>
      </c>
      <c r="G7" s="35" t="s">
        <v>7</v>
      </c>
      <c r="H7" s="678" t="s">
        <v>8</v>
      </c>
      <c r="I7" s="679"/>
      <c r="J7" s="37" t="s">
        <v>6</v>
      </c>
      <c r="K7" s="36" t="s">
        <v>8</v>
      </c>
      <c r="L7" s="37" t="s">
        <v>6</v>
      </c>
      <c r="M7" s="35" t="s">
        <v>8</v>
      </c>
      <c r="N7" s="678" t="s">
        <v>8</v>
      </c>
      <c r="O7" s="679"/>
      <c r="P7" s="37" t="s">
        <v>6</v>
      </c>
      <c r="Q7" s="36" t="s">
        <v>8</v>
      </c>
      <c r="R7" s="38" t="s">
        <v>14</v>
      </c>
      <c r="S7" s="36" t="s">
        <v>16</v>
      </c>
    </row>
    <row r="8" spans="1:24" ht="13.8" thickBot="1" x14ac:dyDescent="0.3">
      <c r="A8" s="208"/>
      <c r="B8" s="209"/>
      <c r="C8" s="209"/>
      <c r="D8" s="210" t="s">
        <v>35</v>
      </c>
      <c r="E8" s="211"/>
      <c r="F8" s="212"/>
      <c r="G8" s="213"/>
      <c r="H8" s="690" t="s">
        <v>10</v>
      </c>
      <c r="I8" s="691"/>
      <c r="J8" s="212" t="s">
        <v>11</v>
      </c>
      <c r="K8" s="211" t="s">
        <v>10</v>
      </c>
      <c r="L8" s="212" t="s">
        <v>10</v>
      </c>
      <c r="M8" s="213" t="s">
        <v>10</v>
      </c>
      <c r="N8" s="690" t="s">
        <v>10</v>
      </c>
      <c r="O8" s="691"/>
      <c r="P8" s="212" t="s">
        <v>11</v>
      </c>
      <c r="Q8" s="211" t="s">
        <v>10</v>
      </c>
      <c r="R8" s="212" t="s">
        <v>15</v>
      </c>
      <c r="S8" s="211" t="s">
        <v>10</v>
      </c>
    </row>
    <row r="9" spans="1:24" s="51" customFormat="1" ht="15" customHeight="1" x14ac:dyDescent="0.25">
      <c r="A9" s="207"/>
      <c r="B9" s="44"/>
      <c r="C9" s="44"/>
      <c r="D9" s="44" t="s">
        <v>177</v>
      </c>
      <c r="E9" s="45">
        <v>1</v>
      </c>
      <c r="F9" s="46">
        <v>4</v>
      </c>
      <c r="G9" s="47">
        <f t="shared" ref="G9:G124" si="0">(IF(F9="","",E9*F9))</f>
        <v>4</v>
      </c>
      <c r="H9" s="686">
        <f>(IF(G9="","",G9*I5))</f>
        <v>172</v>
      </c>
      <c r="I9" s="687"/>
      <c r="J9" s="64">
        <f t="shared" ref="J9:J124" si="1">IF(H9&lt;1,0,T9)</f>
        <v>172</v>
      </c>
      <c r="K9" s="62">
        <f t="shared" ref="K9:K124" si="2">IF(J9="","",E9*J9)</f>
        <v>172</v>
      </c>
      <c r="L9" s="48">
        <v>0</v>
      </c>
      <c r="M9" s="49">
        <f t="shared" ref="M9:M35" si="3">IF(L9="","",E9*L9)</f>
        <v>0</v>
      </c>
      <c r="N9" s="692">
        <f>IF(M9="","",M9/100*O4+M9)</f>
        <v>0</v>
      </c>
      <c r="O9" s="693"/>
      <c r="P9" s="58">
        <v>0</v>
      </c>
      <c r="Q9" s="59">
        <v>0</v>
      </c>
      <c r="R9" s="50">
        <v>0</v>
      </c>
      <c r="S9" s="50">
        <f t="shared" ref="S9:S42" si="4">IF(R9="","",E9*R9)</f>
        <v>0</v>
      </c>
      <c r="T9" s="51">
        <f t="shared" ref="T9:T124" si="5">IF(H9="","",H9/E9)</f>
        <v>172</v>
      </c>
    </row>
    <row r="10" spans="1:24" s="51" customFormat="1" ht="15" customHeight="1" x14ac:dyDescent="0.25">
      <c r="A10" s="60"/>
      <c r="B10" s="52"/>
      <c r="C10" s="52"/>
      <c r="D10" s="52" t="s">
        <v>138</v>
      </c>
      <c r="E10" s="53">
        <v>1</v>
      </c>
      <c r="F10" s="54">
        <v>1</v>
      </c>
      <c r="G10" s="47">
        <f>(IF(F10="","",E10*F10))</f>
        <v>1</v>
      </c>
      <c r="H10" s="686">
        <f>(IF(G10="","",G10*I5))</f>
        <v>43</v>
      </c>
      <c r="I10" s="687"/>
      <c r="J10" s="63">
        <f t="shared" si="1"/>
        <v>43</v>
      </c>
      <c r="K10" s="62">
        <f>IF(J10="","",E10*J10)</f>
        <v>43</v>
      </c>
      <c r="L10" s="55">
        <v>0</v>
      </c>
      <c r="M10" s="56">
        <f t="shared" si="3"/>
        <v>0</v>
      </c>
      <c r="N10" s="688">
        <f>IF(M10="","",M10/100*O4+M10)</f>
        <v>0</v>
      </c>
      <c r="O10" s="689"/>
      <c r="P10" s="65">
        <v>0</v>
      </c>
      <c r="Q10" s="66">
        <v>0</v>
      </c>
      <c r="R10" s="50">
        <v>0</v>
      </c>
      <c r="S10" s="50">
        <f t="shared" si="4"/>
        <v>0</v>
      </c>
      <c r="T10" s="51">
        <f t="shared" si="5"/>
        <v>43</v>
      </c>
    </row>
    <row r="11" spans="1:24" s="51" customFormat="1" ht="15" customHeight="1" x14ac:dyDescent="0.25">
      <c r="A11" s="60"/>
      <c r="B11" s="52"/>
      <c r="C11" s="52"/>
      <c r="D11" s="52" t="s">
        <v>43</v>
      </c>
      <c r="E11" s="53"/>
      <c r="F11" s="54">
        <v>0.5</v>
      </c>
      <c r="G11" s="47">
        <f>(IF(F11="","",E11*F11))</f>
        <v>0</v>
      </c>
      <c r="H11" s="686">
        <f>(IF(G11="","",G11*I5))</f>
        <v>0</v>
      </c>
      <c r="I11" s="687"/>
      <c r="J11" s="63">
        <f t="shared" si="1"/>
        <v>0</v>
      </c>
      <c r="K11" s="62">
        <f>IF(J11="","",E11*J11)</f>
        <v>0</v>
      </c>
      <c r="L11" s="55">
        <v>0</v>
      </c>
      <c r="M11" s="56">
        <f t="shared" si="3"/>
        <v>0</v>
      </c>
      <c r="N11" s="688">
        <f>IF(M11="","",M11/100*O5+M11)</f>
        <v>0</v>
      </c>
      <c r="O11" s="689"/>
      <c r="P11" s="65">
        <v>0</v>
      </c>
      <c r="Q11" s="66">
        <v>0</v>
      </c>
      <c r="R11" s="50">
        <v>0</v>
      </c>
      <c r="S11" s="50">
        <f t="shared" si="4"/>
        <v>0</v>
      </c>
      <c r="T11" s="51" t="e">
        <f t="shared" si="5"/>
        <v>#DIV/0!</v>
      </c>
    </row>
    <row r="12" spans="1:24" s="51" customFormat="1" ht="15" customHeight="1" x14ac:dyDescent="0.25">
      <c r="A12" s="60"/>
      <c r="B12" s="52"/>
      <c r="C12" s="52"/>
      <c r="D12" s="52" t="s">
        <v>170</v>
      </c>
      <c r="E12" s="53">
        <v>25</v>
      </c>
      <c r="F12" s="54">
        <v>0.5</v>
      </c>
      <c r="G12" s="47">
        <f t="shared" si="0"/>
        <v>12.5</v>
      </c>
      <c r="H12" s="686">
        <f>(IF(G12="","",G12*I5))</f>
        <v>537.5</v>
      </c>
      <c r="I12" s="687"/>
      <c r="J12" s="63">
        <f t="shared" si="1"/>
        <v>21.5</v>
      </c>
      <c r="K12" s="62">
        <f t="shared" si="2"/>
        <v>537.5</v>
      </c>
      <c r="L12" s="55">
        <v>0</v>
      </c>
      <c r="M12" s="56">
        <f t="shared" si="3"/>
        <v>0</v>
      </c>
      <c r="N12" s="688">
        <f>IF(M12="","",M12/100*O5+M12)</f>
        <v>0</v>
      </c>
      <c r="O12" s="689"/>
      <c r="P12" s="65">
        <v>0</v>
      </c>
      <c r="Q12" s="66">
        <v>0</v>
      </c>
      <c r="R12" s="50">
        <v>0</v>
      </c>
      <c r="S12" s="50">
        <f t="shared" si="4"/>
        <v>0</v>
      </c>
      <c r="T12" s="51">
        <f t="shared" si="5"/>
        <v>21.5</v>
      </c>
    </row>
    <row r="13" spans="1:24" s="51" customFormat="1" ht="15" customHeight="1" x14ac:dyDescent="0.25">
      <c r="A13" s="60"/>
      <c r="B13" s="52"/>
      <c r="C13" s="52"/>
      <c r="D13" s="52" t="s">
        <v>171</v>
      </c>
      <c r="E13" s="53">
        <v>200</v>
      </c>
      <c r="F13" s="54">
        <v>0.5</v>
      </c>
      <c r="G13" s="47">
        <f t="shared" si="0"/>
        <v>100</v>
      </c>
      <c r="H13" s="686">
        <f>(IF(G13="","",G13*I5))</f>
        <v>4300</v>
      </c>
      <c r="I13" s="687"/>
      <c r="J13" s="63">
        <f t="shared" si="1"/>
        <v>21.5</v>
      </c>
      <c r="K13" s="62">
        <f t="shared" si="2"/>
        <v>4300</v>
      </c>
      <c r="L13" s="55">
        <v>0</v>
      </c>
      <c r="M13" s="56">
        <f t="shared" si="3"/>
        <v>0</v>
      </c>
      <c r="N13" s="688">
        <f>IF(M13="","",M13/100*O6+M13)</f>
        <v>0</v>
      </c>
      <c r="O13" s="689"/>
      <c r="P13" s="65">
        <v>0</v>
      </c>
      <c r="Q13" s="66">
        <v>0</v>
      </c>
      <c r="R13" s="50">
        <v>0</v>
      </c>
      <c r="S13" s="50">
        <f t="shared" si="4"/>
        <v>0</v>
      </c>
      <c r="T13" s="51">
        <f t="shared" si="5"/>
        <v>21.5</v>
      </c>
    </row>
    <row r="14" spans="1:24" s="51" customFormat="1" ht="15" customHeight="1" x14ac:dyDescent="0.25">
      <c r="A14" s="60"/>
      <c r="B14" s="52"/>
      <c r="C14" s="52"/>
      <c r="D14" s="52" t="s">
        <v>172</v>
      </c>
      <c r="E14" s="53">
        <v>38</v>
      </c>
      <c r="F14" s="54">
        <v>0.5</v>
      </c>
      <c r="G14" s="47">
        <f t="shared" si="0"/>
        <v>19</v>
      </c>
      <c r="H14" s="686">
        <f>(IF(G14="","",G14*I5))</f>
        <v>817</v>
      </c>
      <c r="I14" s="687"/>
      <c r="J14" s="63">
        <f t="shared" si="1"/>
        <v>21.5</v>
      </c>
      <c r="K14" s="62">
        <f t="shared" si="2"/>
        <v>817</v>
      </c>
      <c r="L14" s="55">
        <v>0</v>
      </c>
      <c r="M14" s="56">
        <f t="shared" si="3"/>
        <v>0</v>
      </c>
      <c r="N14" s="688">
        <f>IF(M14="","",M14/100*O5+M14)</f>
        <v>0</v>
      </c>
      <c r="O14" s="689"/>
      <c r="P14" s="65">
        <v>0</v>
      </c>
      <c r="Q14" s="66">
        <v>0</v>
      </c>
      <c r="R14" s="50">
        <v>0</v>
      </c>
      <c r="S14" s="50">
        <f t="shared" si="4"/>
        <v>0</v>
      </c>
      <c r="T14" s="51">
        <f t="shared" si="5"/>
        <v>21.5</v>
      </c>
    </row>
    <row r="15" spans="1:24" s="51" customFormat="1" ht="15" customHeight="1" x14ac:dyDescent="0.25">
      <c r="A15" s="60"/>
      <c r="B15" s="52"/>
      <c r="C15" s="52"/>
      <c r="D15" s="52" t="s">
        <v>173</v>
      </c>
      <c r="E15" s="53">
        <v>15</v>
      </c>
      <c r="F15" s="54">
        <v>0.75</v>
      </c>
      <c r="G15" s="47">
        <f t="shared" si="0"/>
        <v>11.25</v>
      </c>
      <c r="H15" s="686">
        <f>(IF(G15="","",G15*I5))</f>
        <v>483.75</v>
      </c>
      <c r="I15" s="687"/>
      <c r="J15" s="63">
        <f t="shared" si="1"/>
        <v>32.25</v>
      </c>
      <c r="K15" s="62">
        <f t="shared" si="2"/>
        <v>483.75</v>
      </c>
      <c r="L15" s="55">
        <v>0</v>
      </c>
      <c r="M15" s="56">
        <f t="shared" si="3"/>
        <v>0</v>
      </c>
      <c r="N15" s="688">
        <f>IF(M15="","",M15/100*O5+M15)</f>
        <v>0</v>
      </c>
      <c r="O15" s="689"/>
      <c r="P15" s="65">
        <v>0</v>
      </c>
      <c r="Q15" s="66">
        <v>0</v>
      </c>
      <c r="R15" s="50">
        <v>0</v>
      </c>
      <c r="S15" s="50">
        <f t="shared" si="4"/>
        <v>0</v>
      </c>
      <c r="T15" s="51">
        <f t="shared" si="5"/>
        <v>32.25</v>
      </c>
    </row>
    <row r="16" spans="1:24" s="51" customFormat="1" ht="15" customHeight="1" x14ac:dyDescent="0.25">
      <c r="A16" s="60"/>
      <c r="B16" s="52"/>
      <c r="C16" s="52"/>
      <c r="D16" s="52" t="s">
        <v>175</v>
      </c>
      <c r="E16" s="53">
        <v>5</v>
      </c>
      <c r="F16" s="54">
        <v>0.5</v>
      </c>
      <c r="G16" s="47">
        <f t="shared" si="0"/>
        <v>2.5</v>
      </c>
      <c r="H16" s="686">
        <f>(IF(G16="","",G16*I5))</f>
        <v>107.5</v>
      </c>
      <c r="I16" s="687"/>
      <c r="J16" s="63">
        <f t="shared" si="1"/>
        <v>21.5</v>
      </c>
      <c r="K16" s="62">
        <f t="shared" si="2"/>
        <v>107.5</v>
      </c>
      <c r="L16" s="55">
        <v>0</v>
      </c>
      <c r="M16" s="56">
        <f t="shared" si="3"/>
        <v>0</v>
      </c>
      <c r="N16" s="688">
        <f>IF(M16="","",M16/100*O5+M16)</f>
        <v>0</v>
      </c>
      <c r="O16" s="689"/>
      <c r="P16" s="65">
        <v>0</v>
      </c>
      <c r="Q16" s="66">
        <v>0</v>
      </c>
      <c r="R16" s="50">
        <v>0</v>
      </c>
      <c r="S16" s="50">
        <f t="shared" si="4"/>
        <v>0</v>
      </c>
      <c r="T16" s="51">
        <f t="shared" si="5"/>
        <v>21.5</v>
      </c>
      <c r="X16" s="126"/>
    </row>
    <row r="17" spans="1:27" s="51" customFormat="1" ht="15" customHeight="1" x14ac:dyDescent="0.25">
      <c r="A17" s="60"/>
      <c r="B17" s="52"/>
      <c r="C17" s="52"/>
      <c r="D17" s="52" t="s">
        <v>176</v>
      </c>
      <c r="E17" s="53">
        <v>2</v>
      </c>
      <c r="F17" s="54">
        <v>1</v>
      </c>
      <c r="G17" s="47">
        <f t="shared" si="0"/>
        <v>2</v>
      </c>
      <c r="H17" s="686">
        <f>(IF(G17="","",G17*I5))</f>
        <v>86</v>
      </c>
      <c r="I17" s="687"/>
      <c r="J17" s="63">
        <f t="shared" si="1"/>
        <v>43</v>
      </c>
      <c r="K17" s="62">
        <f t="shared" si="2"/>
        <v>86</v>
      </c>
      <c r="L17" s="55">
        <v>0</v>
      </c>
      <c r="M17" s="56">
        <f t="shared" si="3"/>
        <v>0</v>
      </c>
      <c r="N17" s="688">
        <f>IF(M17="","",M17/100*O5+M17)</f>
        <v>0</v>
      </c>
      <c r="O17" s="689"/>
      <c r="P17" s="65">
        <v>0</v>
      </c>
      <c r="Q17" s="66">
        <v>0</v>
      </c>
      <c r="R17" s="50">
        <v>0</v>
      </c>
      <c r="S17" s="50">
        <f t="shared" si="4"/>
        <v>0</v>
      </c>
      <c r="T17" s="51">
        <f t="shared" si="5"/>
        <v>43</v>
      </c>
      <c r="W17" s="694" t="s">
        <v>99</v>
      </c>
      <c r="X17" s="695"/>
      <c r="Y17" s="695"/>
      <c r="Z17" s="695"/>
      <c r="AA17" s="696"/>
    </row>
    <row r="18" spans="1:27" s="51" customFormat="1" ht="15" customHeight="1" x14ac:dyDescent="0.25">
      <c r="A18" s="60"/>
      <c r="B18" s="52"/>
      <c r="C18" s="52"/>
      <c r="D18" s="52" t="s">
        <v>174</v>
      </c>
      <c r="E18" s="53"/>
      <c r="F18" s="54">
        <v>0.5</v>
      </c>
      <c r="G18" s="47">
        <f>(IF(F18="","",E18*F18))</f>
        <v>0</v>
      </c>
      <c r="H18" s="686">
        <f>(IF(G18="","",G18*I5))</f>
        <v>0</v>
      </c>
      <c r="I18" s="687"/>
      <c r="J18" s="63">
        <f t="shared" si="1"/>
        <v>0</v>
      </c>
      <c r="K18" s="62">
        <f>IF(J18="","",E18*J18)</f>
        <v>0</v>
      </c>
      <c r="L18" s="55">
        <v>0</v>
      </c>
      <c r="M18" s="56">
        <f t="shared" si="3"/>
        <v>0</v>
      </c>
      <c r="N18" s="688">
        <f>IF(M18="","",M18/100*O4+M18)</f>
        <v>0</v>
      </c>
      <c r="O18" s="689"/>
      <c r="P18" s="65">
        <v>0</v>
      </c>
      <c r="Q18" s="66">
        <v>0</v>
      </c>
      <c r="R18" s="50">
        <v>0</v>
      </c>
      <c r="S18" s="50">
        <f t="shared" si="4"/>
        <v>0</v>
      </c>
      <c r="T18" s="51" t="e">
        <f t="shared" si="5"/>
        <v>#DIV/0!</v>
      </c>
      <c r="W18" s="148" t="s">
        <v>100</v>
      </c>
      <c r="X18" s="99">
        <f>SUM(E23)*10</f>
        <v>2880</v>
      </c>
      <c r="Y18" s="99"/>
      <c r="Z18" s="99"/>
      <c r="AA18" s="145"/>
    </row>
    <row r="19" spans="1:27" s="51" customFormat="1" ht="15" customHeight="1" x14ac:dyDescent="0.25">
      <c r="A19" s="60"/>
      <c r="B19" s="52"/>
      <c r="C19" s="52"/>
      <c r="D19" s="52" t="s">
        <v>182</v>
      </c>
      <c r="E19" s="53"/>
      <c r="F19" s="54">
        <v>0</v>
      </c>
      <c r="G19" s="47">
        <f t="shared" ref="G19" si="6">(IF(F19="","",E19*F19))</f>
        <v>0</v>
      </c>
      <c r="H19" s="686">
        <f>(IF(G19="","",G19*I5))</f>
        <v>0</v>
      </c>
      <c r="I19" s="687"/>
      <c r="J19" s="63">
        <f t="shared" si="1"/>
        <v>0</v>
      </c>
      <c r="K19" s="62">
        <f t="shared" ref="K19" si="7">IF(J19="","",E19*J19)</f>
        <v>0</v>
      </c>
      <c r="L19" s="55">
        <v>0</v>
      </c>
      <c r="M19" s="56">
        <f t="shared" si="3"/>
        <v>0</v>
      </c>
      <c r="N19" s="688">
        <f>IF(M19="","",M19/100*O8+M19)</f>
        <v>0</v>
      </c>
      <c r="O19" s="689"/>
      <c r="P19" s="65">
        <v>0</v>
      </c>
      <c r="Q19" s="66">
        <v>0</v>
      </c>
      <c r="R19" s="50">
        <v>0</v>
      </c>
      <c r="S19" s="50">
        <f t="shared" si="4"/>
        <v>0</v>
      </c>
      <c r="T19" s="51" t="e">
        <f t="shared" si="5"/>
        <v>#DIV/0!</v>
      </c>
      <c r="W19" s="99" t="s">
        <v>161</v>
      </c>
      <c r="X19" s="203">
        <f>SUM(E15*2)</f>
        <v>30</v>
      </c>
      <c r="Y19" s="99"/>
      <c r="Z19" s="99"/>
      <c r="AA19" s="99"/>
    </row>
    <row r="20" spans="1:27" s="51" customFormat="1" ht="15" customHeight="1" x14ac:dyDescent="0.25">
      <c r="A20" s="60"/>
      <c r="B20" s="52"/>
      <c r="C20" s="52"/>
      <c r="D20" s="52"/>
      <c r="E20" s="53"/>
      <c r="F20" s="54">
        <v>0.5</v>
      </c>
      <c r="G20" s="47">
        <f t="shared" si="0"/>
        <v>0</v>
      </c>
      <c r="H20" s="686">
        <f>(IF(G20="","",G20*I5))</f>
        <v>0</v>
      </c>
      <c r="I20" s="687"/>
      <c r="J20" s="63">
        <f t="shared" si="1"/>
        <v>0</v>
      </c>
      <c r="K20" s="62">
        <f t="shared" si="2"/>
        <v>0</v>
      </c>
      <c r="L20" s="55">
        <v>0</v>
      </c>
      <c r="M20" s="56">
        <f t="shared" si="3"/>
        <v>0</v>
      </c>
      <c r="N20" s="688">
        <f>IF(M20="","",M20/100*O5+M20)</f>
        <v>0</v>
      </c>
      <c r="O20" s="689"/>
      <c r="P20" s="65">
        <v>0</v>
      </c>
      <c r="Q20" s="66">
        <v>0</v>
      </c>
      <c r="R20" s="50">
        <v>0</v>
      </c>
      <c r="S20" s="50">
        <f t="shared" si="4"/>
        <v>0</v>
      </c>
      <c r="T20" s="51" t="e">
        <f t="shared" si="5"/>
        <v>#DIV/0!</v>
      </c>
      <c r="W20" s="148" t="s">
        <v>101</v>
      </c>
      <c r="X20" s="99">
        <f>SUM(E24*3)</f>
        <v>60</v>
      </c>
      <c r="Y20" s="99"/>
      <c r="Z20" s="99"/>
      <c r="AA20" s="145"/>
    </row>
    <row r="21" spans="1:27" s="51" customFormat="1" ht="15" customHeight="1" thickBot="1" x14ac:dyDescent="0.3">
      <c r="A21" s="60"/>
      <c r="B21" s="52"/>
      <c r="C21" s="52"/>
      <c r="D21" s="52" t="s">
        <v>65</v>
      </c>
      <c r="E21" s="53"/>
      <c r="F21" s="54">
        <v>1</v>
      </c>
      <c r="G21" s="47">
        <f t="shared" si="0"/>
        <v>0</v>
      </c>
      <c r="H21" s="686">
        <f>(IF(G21="","",G21*I5))</f>
        <v>0</v>
      </c>
      <c r="I21" s="687"/>
      <c r="J21" s="63">
        <f t="shared" si="1"/>
        <v>0</v>
      </c>
      <c r="K21" s="62">
        <f t="shared" si="2"/>
        <v>0</v>
      </c>
      <c r="L21" s="55">
        <v>0</v>
      </c>
      <c r="M21" s="56">
        <f t="shared" si="3"/>
        <v>0</v>
      </c>
      <c r="N21" s="688">
        <f>IF(M21="","",M21/100*O3+M21)</f>
        <v>0</v>
      </c>
      <c r="O21" s="689"/>
      <c r="P21" s="65">
        <v>0</v>
      </c>
      <c r="Q21" s="66">
        <v>0</v>
      </c>
      <c r="R21" s="50">
        <v>0</v>
      </c>
      <c r="S21" s="50">
        <f t="shared" si="4"/>
        <v>0</v>
      </c>
      <c r="T21" s="51" t="e">
        <f t="shared" si="5"/>
        <v>#DIV/0!</v>
      </c>
      <c r="W21" s="151" t="s">
        <v>163</v>
      </c>
      <c r="X21" s="204">
        <f>SUM(E19)*20</f>
        <v>0</v>
      </c>
      <c r="Y21" s="99"/>
      <c r="Z21" s="99"/>
      <c r="AA21" s="145"/>
    </row>
    <row r="22" spans="1:27" s="51" customFormat="1" ht="15" customHeight="1" x14ac:dyDescent="0.25">
      <c r="A22" s="60"/>
      <c r="B22" s="52"/>
      <c r="C22" s="52"/>
      <c r="D22" s="52" t="s">
        <v>56</v>
      </c>
      <c r="E22" s="53">
        <v>1</v>
      </c>
      <c r="F22" s="54">
        <v>2</v>
      </c>
      <c r="G22" s="47">
        <f t="shared" si="0"/>
        <v>2</v>
      </c>
      <c r="H22" s="686">
        <f>(IF(G22="","",G22*I5))</f>
        <v>86</v>
      </c>
      <c r="I22" s="687"/>
      <c r="J22" s="63">
        <f t="shared" si="1"/>
        <v>86</v>
      </c>
      <c r="K22" s="62">
        <f t="shared" si="2"/>
        <v>86</v>
      </c>
      <c r="L22" s="55">
        <v>0</v>
      </c>
      <c r="M22" s="56">
        <f t="shared" si="3"/>
        <v>0</v>
      </c>
      <c r="N22" s="688">
        <f>IF(M22="","",M22/100*O4+M22)</f>
        <v>0</v>
      </c>
      <c r="O22" s="689"/>
      <c r="P22" s="65">
        <v>0</v>
      </c>
      <c r="Q22" s="66">
        <v>0</v>
      </c>
      <c r="R22" s="50">
        <v>0</v>
      </c>
      <c r="S22" s="50">
        <f t="shared" si="4"/>
        <v>0</v>
      </c>
      <c r="T22" s="51">
        <f t="shared" si="5"/>
        <v>86</v>
      </c>
      <c r="W22" s="149"/>
      <c r="X22" s="191">
        <f>SUM(X18:X21)</f>
        <v>2970</v>
      </c>
      <c r="Y22" s="146"/>
      <c r="Z22" s="146"/>
      <c r="AA22" s="147"/>
    </row>
    <row r="23" spans="1:27" s="51" customFormat="1" ht="15" customHeight="1" x14ac:dyDescent="0.25">
      <c r="A23" s="112"/>
      <c r="B23" s="113"/>
      <c r="C23" s="113"/>
      <c r="D23" s="158" t="s">
        <v>109</v>
      </c>
      <c r="E23" s="159">
        <f>SUM(E9:E22)</f>
        <v>288</v>
      </c>
      <c r="F23" s="114"/>
      <c r="G23" s="139"/>
      <c r="H23" s="140"/>
      <c r="I23" s="141"/>
      <c r="J23" s="63"/>
      <c r="K23" s="142"/>
      <c r="L23" s="119"/>
      <c r="M23" s="120"/>
      <c r="N23" s="121"/>
      <c r="O23" s="122"/>
      <c r="P23" s="123"/>
      <c r="Q23" s="66"/>
      <c r="R23" s="95"/>
      <c r="S23" s="95"/>
    </row>
    <row r="24" spans="1:27" s="51" customFormat="1" ht="15" customHeight="1" thickBot="1" x14ac:dyDescent="0.3">
      <c r="A24" s="60"/>
      <c r="B24" s="52"/>
      <c r="C24" s="52"/>
      <c r="D24" s="61" t="s">
        <v>36</v>
      </c>
      <c r="E24" s="160">
        <v>20</v>
      </c>
      <c r="F24" s="54">
        <v>0.25</v>
      </c>
      <c r="G24" s="47">
        <f>(IF(F24="","",E24*F24))</f>
        <v>5</v>
      </c>
      <c r="H24" s="686">
        <f>(IF(G24="","",G24*I5))</f>
        <v>215</v>
      </c>
      <c r="I24" s="687"/>
      <c r="J24" s="64">
        <f>IF(H24&lt;1,0,T24)</f>
        <v>10.75</v>
      </c>
      <c r="K24" s="62">
        <f>IF(J24="","",E24*J24)</f>
        <v>215</v>
      </c>
      <c r="L24" s="55">
        <v>0</v>
      </c>
      <c r="M24" s="96">
        <f>IF(L24="","",E24*L24)</f>
        <v>0</v>
      </c>
      <c r="N24" s="697">
        <f>IF(M24="","",M24/100*O5+M24)</f>
        <v>0</v>
      </c>
      <c r="O24" s="698"/>
      <c r="P24" s="97">
        <v>0</v>
      </c>
      <c r="Q24" s="143">
        <v>0</v>
      </c>
      <c r="R24" s="98">
        <v>0</v>
      </c>
      <c r="S24" s="98">
        <f>IF(R24="","",E24*R24)</f>
        <v>0</v>
      </c>
      <c r="T24" s="99">
        <f>IF(H24="","",H24/E24)</f>
        <v>10.75</v>
      </c>
      <c r="U24" s="99"/>
      <c r="W24" s="699" t="s">
        <v>102</v>
      </c>
      <c r="X24" s="700"/>
      <c r="Y24" s="700"/>
      <c r="Z24" s="700"/>
      <c r="AA24" s="701"/>
    </row>
    <row r="25" spans="1:27" s="51" customFormat="1" ht="15" customHeight="1" thickBot="1" x14ac:dyDescent="0.3">
      <c r="A25" s="112"/>
      <c r="B25" s="113"/>
      <c r="C25" s="113"/>
      <c r="D25" s="163" t="s">
        <v>110</v>
      </c>
      <c r="E25" s="164">
        <f>SUM(X28)</f>
        <v>298</v>
      </c>
      <c r="F25" s="114"/>
      <c r="G25" s="139"/>
      <c r="H25" s="140"/>
      <c r="I25" s="141"/>
      <c r="J25" s="63"/>
      <c r="K25" s="142"/>
      <c r="L25" s="119"/>
      <c r="M25" s="120"/>
      <c r="N25" s="121"/>
      <c r="O25" s="122"/>
      <c r="P25" s="123"/>
      <c r="Q25" s="124"/>
      <c r="R25" s="144"/>
      <c r="S25" s="95"/>
      <c r="W25" s="151" t="s">
        <v>103</v>
      </c>
      <c r="X25" s="152">
        <f>SUM(E23)</f>
        <v>288</v>
      </c>
      <c r="Y25" s="152"/>
      <c r="Z25" s="152"/>
      <c r="AA25" s="153"/>
    </row>
    <row r="26" spans="1:27" s="51" customFormat="1" ht="15" customHeight="1" thickBot="1" x14ac:dyDescent="0.3">
      <c r="A26" s="60"/>
      <c r="B26" s="52"/>
      <c r="C26" s="52"/>
      <c r="D26" s="161" t="s">
        <v>98</v>
      </c>
      <c r="E26" s="162">
        <f>SUM(X22)</f>
        <v>2970</v>
      </c>
      <c r="F26" s="54"/>
      <c r="G26" s="47" t="str">
        <f t="shared" si="0"/>
        <v/>
      </c>
      <c r="H26" s="686" t="str">
        <f>(IF(G26="","",G26*I5))</f>
        <v/>
      </c>
      <c r="I26" s="687"/>
      <c r="J26" s="64" t="str">
        <f t="shared" si="1"/>
        <v/>
      </c>
      <c r="K26" s="62" t="str">
        <f t="shared" si="2"/>
        <v/>
      </c>
      <c r="L26" s="55">
        <v>0</v>
      </c>
      <c r="M26" s="56">
        <f t="shared" si="3"/>
        <v>0</v>
      </c>
      <c r="N26" s="688">
        <f>IF(M26="","",M26/100*O5+M26)</f>
        <v>0</v>
      </c>
      <c r="O26" s="689"/>
      <c r="P26" s="65">
        <v>0</v>
      </c>
      <c r="Q26" s="66">
        <v>0</v>
      </c>
      <c r="R26" s="50">
        <v>0</v>
      </c>
      <c r="S26" s="50">
        <f t="shared" si="4"/>
        <v>0</v>
      </c>
      <c r="T26" s="51" t="str">
        <f t="shared" si="5"/>
        <v/>
      </c>
      <c r="W26" s="151" t="s">
        <v>86</v>
      </c>
      <c r="X26" s="152">
        <f>SUM(E24)/2</f>
        <v>10</v>
      </c>
      <c r="Y26" s="152"/>
      <c r="Z26" s="152"/>
      <c r="AA26" s="153"/>
    </row>
    <row r="27" spans="1:27" s="51" customFormat="1" ht="15" customHeight="1" thickBot="1" x14ac:dyDescent="0.3">
      <c r="A27" s="171"/>
      <c r="B27" s="172" t="s">
        <v>134</v>
      </c>
      <c r="C27" s="171"/>
      <c r="D27" s="169" t="s">
        <v>169</v>
      </c>
      <c r="E27" s="53"/>
      <c r="F27" s="54">
        <v>0.05</v>
      </c>
      <c r="G27" s="47">
        <f t="shared" si="0"/>
        <v>0</v>
      </c>
      <c r="H27" s="686">
        <f>(IF(G27="","",G27*I5))</f>
        <v>0</v>
      </c>
      <c r="I27" s="687"/>
      <c r="J27" s="63">
        <f t="shared" si="1"/>
        <v>0</v>
      </c>
      <c r="K27" s="62">
        <f t="shared" si="2"/>
        <v>0</v>
      </c>
      <c r="L27" s="55">
        <v>2.4E-2</v>
      </c>
      <c r="M27" s="56">
        <f t="shared" si="3"/>
        <v>0</v>
      </c>
      <c r="N27" s="688">
        <f>IF(M27="","",M27/100*O6+M27)</f>
        <v>0</v>
      </c>
      <c r="O27" s="689"/>
      <c r="P27" s="58">
        <f t="shared" ref="P27" si="8">IF(N27&lt;1,0,U27)</f>
        <v>0</v>
      </c>
      <c r="Q27" s="66">
        <f t="shared" ref="Q27" si="9">IF(P27="","",E27*P27)</f>
        <v>0</v>
      </c>
      <c r="R27" s="68">
        <f t="shared" ref="R27" si="10">IF(J27="","",J27+P27)</f>
        <v>0</v>
      </c>
      <c r="S27" s="66">
        <f t="shared" si="4"/>
        <v>0</v>
      </c>
      <c r="T27" s="51" t="e">
        <f t="shared" si="5"/>
        <v>#DIV/0!</v>
      </c>
      <c r="U27" s="51" t="e">
        <f t="shared" ref="U27" si="11">IF(N27="","",N27/E27)</f>
        <v>#DIV/0!</v>
      </c>
      <c r="W27" s="205" t="s">
        <v>166</v>
      </c>
      <c r="X27" s="206">
        <f>SUM(E29+E30)</f>
        <v>0</v>
      </c>
      <c r="Y27" s="152"/>
      <c r="Z27" s="152"/>
      <c r="AA27" s="152"/>
    </row>
    <row r="28" spans="1:27" s="51" customFormat="1" ht="15" customHeight="1" x14ac:dyDescent="0.25">
      <c r="A28" s="128"/>
      <c r="B28" s="129"/>
      <c r="C28" s="129"/>
      <c r="D28" s="129"/>
      <c r="E28" s="130"/>
      <c r="F28" s="131"/>
      <c r="G28" s="115"/>
      <c r="H28" s="116"/>
      <c r="I28" s="117"/>
      <c r="J28" s="132"/>
      <c r="K28" s="118"/>
      <c r="L28" s="133"/>
      <c r="M28" s="134"/>
      <c r="N28" s="135"/>
      <c r="O28" s="125"/>
      <c r="P28" s="136"/>
      <c r="Q28" s="137"/>
      <c r="R28" s="138"/>
      <c r="S28" s="125"/>
      <c r="W28" s="154"/>
      <c r="X28" s="157">
        <f>SUM(X25:X27)</f>
        <v>298</v>
      </c>
      <c r="Y28" s="152"/>
      <c r="Z28" s="152"/>
      <c r="AA28" s="153"/>
    </row>
    <row r="29" spans="1:27" s="51" customFormat="1" ht="15" customHeight="1" x14ac:dyDescent="0.25">
      <c r="A29" s="44"/>
      <c r="B29" s="44"/>
      <c r="C29" s="44"/>
      <c r="D29" s="44" t="s">
        <v>44</v>
      </c>
      <c r="E29" s="218"/>
      <c r="F29" s="46">
        <v>4</v>
      </c>
      <c r="G29" s="47">
        <f t="shared" si="0"/>
        <v>0</v>
      </c>
      <c r="H29" s="686">
        <f>(IF(G29="","",G29*I5))</f>
        <v>0</v>
      </c>
      <c r="I29" s="687"/>
      <c r="J29" s="64">
        <f t="shared" si="1"/>
        <v>0</v>
      </c>
      <c r="K29" s="62">
        <f t="shared" si="2"/>
        <v>0</v>
      </c>
      <c r="L29" s="48">
        <v>0</v>
      </c>
      <c r="M29" s="49">
        <f t="shared" si="3"/>
        <v>0</v>
      </c>
      <c r="N29" s="692">
        <f>IF(M29="","",M29/100*O6+M29)</f>
        <v>0</v>
      </c>
      <c r="O29" s="693"/>
      <c r="P29" s="58">
        <f>IF(N29&lt;1,0,U29)</f>
        <v>0</v>
      </c>
      <c r="Q29" s="59">
        <f t="shared" ref="Q29:Q34" si="12">IF(P29="","",E29*P29)</f>
        <v>0</v>
      </c>
      <c r="R29" s="67">
        <f t="shared" ref="R29:R42" si="13">IF(J29="","",J29+P29)</f>
        <v>0</v>
      </c>
      <c r="S29" s="59">
        <f t="shared" si="4"/>
        <v>0</v>
      </c>
      <c r="T29" s="51" t="e">
        <f t="shared" si="5"/>
        <v>#DIV/0!</v>
      </c>
      <c r="U29" s="51" t="e">
        <f>IF(N29="","",N29/E29)</f>
        <v>#DIV/0!</v>
      </c>
      <c r="W29" s="155"/>
      <c r="X29" s="150"/>
      <c r="Y29" s="150"/>
      <c r="Z29" s="150"/>
      <c r="AA29" s="156"/>
    </row>
    <row r="30" spans="1:27" s="51" customFormat="1" ht="15" customHeight="1" thickBot="1" x14ac:dyDescent="0.3">
      <c r="A30" s="61"/>
      <c r="B30" s="61"/>
      <c r="C30" s="61"/>
      <c r="D30" s="61" t="s">
        <v>167</v>
      </c>
      <c r="E30" s="220"/>
      <c r="F30" s="221">
        <v>1</v>
      </c>
      <c r="G30" s="222">
        <f t="shared" si="0"/>
        <v>0</v>
      </c>
      <c r="H30" s="702">
        <f>(IF(G30="","",G30*I5))</f>
        <v>0</v>
      </c>
      <c r="I30" s="703"/>
      <c r="J30" s="223">
        <f t="shared" si="1"/>
        <v>0</v>
      </c>
      <c r="K30" s="224">
        <f t="shared" si="2"/>
        <v>0</v>
      </c>
      <c r="L30" s="225">
        <v>0</v>
      </c>
      <c r="M30" s="226">
        <f t="shared" si="3"/>
        <v>0</v>
      </c>
      <c r="N30" s="704">
        <f>IF(M30="","",M30/100*O7+M30)</f>
        <v>0</v>
      </c>
      <c r="O30" s="705"/>
      <c r="P30" s="227">
        <f t="shared" ref="P30:P124" si="14">IF(N30&lt;1,0,U30)</f>
        <v>0</v>
      </c>
      <c r="Q30" s="228">
        <f t="shared" si="12"/>
        <v>0</v>
      </c>
      <c r="R30" s="229">
        <f t="shared" si="13"/>
        <v>0</v>
      </c>
      <c r="S30" s="228">
        <f t="shared" si="4"/>
        <v>0</v>
      </c>
      <c r="T30" s="51" t="e">
        <f t="shared" si="5"/>
        <v>#DIV/0!</v>
      </c>
      <c r="U30" s="51" t="e">
        <f t="shared" ref="U30:U124" si="15">IF(N30="","",N30/E30)</f>
        <v>#DIV/0!</v>
      </c>
    </row>
    <row r="31" spans="1:27" s="51" customFormat="1" ht="15" customHeight="1" x14ac:dyDescent="0.25">
      <c r="A31" s="44"/>
      <c r="B31" s="44"/>
      <c r="C31" s="44"/>
      <c r="D31" s="44" t="s">
        <v>144</v>
      </c>
      <c r="E31" s="218"/>
      <c r="F31" s="46">
        <v>0.09</v>
      </c>
      <c r="G31" s="47">
        <f t="shared" si="0"/>
        <v>0</v>
      </c>
      <c r="H31" s="686">
        <f>(IF(G31="","",G31*I5))</f>
        <v>0</v>
      </c>
      <c r="I31" s="687"/>
      <c r="J31" s="64">
        <f t="shared" si="1"/>
        <v>0</v>
      </c>
      <c r="K31" s="62">
        <f t="shared" si="2"/>
        <v>0</v>
      </c>
      <c r="L31" s="48">
        <v>0</v>
      </c>
      <c r="M31" s="49">
        <f t="shared" si="3"/>
        <v>0</v>
      </c>
      <c r="N31" s="692">
        <f>IF(M31="","",M31/100*O1+M31)</f>
        <v>0</v>
      </c>
      <c r="O31" s="693"/>
      <c r="P31" s="58">
        <f t="shared" si="14"/>
        <v>0</v>
      </c>
      <c r="Q31" s="59">
        <f t="shared" si="12"/>
        <v>0</v>
      </c>
      <c r="R31" s="67">
        <f t="shared" si="13"/>
        <v>0</v>
      </c>
      <c r="S31" s="59">
        <f t="shared" si="4"/>
        <v>0</v>
      </c>
      <c r="T31" s="51" t="e">
        <f t="shared" si="5"/>
        <v>#DIV/0!</v>
      </c>
      <c r="U31" s="51" t="e">
        <f t="shared" si="15"/>
        <v>#DIV/0!</v>
      </c>
    </row>
    <row r="32" spans="1:27" s="51" customFormat="1" ht="15" customHeight="1" x14ac:dyDescent="0.25">
      <c r="A32" s="69"/>
      <c r="B32" s="70" t="s">
        <v>114</v>
      </c>
      <c r="C32" s="69"/>
      <c r="D32" s="69" t="s">
        <v>145</v>
      </c>
      <c r="E32" s="217"/>
      <c r="F32" s="54">
        <v>0.1</v>
      </c>
      <c r="G32" s="47">
        <f t="shared" si="0"/>
        <v>0</v>
      </c>
      <c r="H32" s="686">
        <f>(IF(G32="","",G32*I5))</f>
        <v>0</v>
      </c>
      <c r="I32" s="687"/>
      <c r="J32" s="63">
        <f t="shared" si="1"/>
        <v>0</v>
      </c>
      <c r="K32" s="62">
        <f t="shared" si="2"/>
        <v>0</v>
      </c>
      <c r="L32" s="55">
        <v>5.74</v>
      </c>
      <c r="M32" s="56">
        <f t="shared" si="3"/>
        <v>0</v>
      </c>
      <c r="N32" s="688">
        <f>IF(M32="","",M32/100*O2+M32)</f>
        <v>0</v>
      </c>
      <c r="O32" s="689"/>
      <c r="P32" s="58">
        <f t="shared" si="14"/>
        <v>0</v>
      </c>
      <c r="Q32" s="66">
        <f t="shared" si="12"/>
        <v>0</v>
      </c>
      <c r="R32" s="68">
        <f t="shared" si="13"/>
        <v>0</v>
      </c>
      <c r="S32" s="66">
        <f t="shared" si="4"/>
        <v>0</v>
      </c>
      <c r="T32" s="51" t="e">
        <f t="shared" si="5"/>
        <v>#DIV/0!</v>
      </c>
      <c r="U32" s="51" t="e">
        <f t="shared" si="15"/>
        <v>#DIV/0!</v>
      </c>
    </row>
    <row r="33" spans="1:28" s="51" customFormat="1" ht="15" customHeight="1" x14ac:dyDescent="0.25">
      <c r="A33" s="177"/>
      <c r="B33" s="178" t="s">
        <v>146</v>
      </c>
      <c r="C33" s="177"/>
      <c r="D33" s="77" t="s">
        <v>37</v>
      </c>
      <c r="E33" s="217">
        <v>1500</v>
      </c>
      <c r="F33" s="54">
        <v>0.08</v>
      </c>
      <c r="G33" s="47">
        <f t="shared" si="0"/>
        <v>120</v>
      </c>
      <c r="H33" s="686">
        <f>(IF(G33="","",G33*I5))</f>
        <v>5160</v>
      </c>
      <c r="I33" s="687"/>
      <c r="J33" s="63">
        <f t="shared" si="1"/>
        <v>3.44</v>
      </c>
      <c r="K33" s="62">
        <f t="shared" si="2"/>
        <v>5160</v>
      </c>
      <c r="L33" s="166">
        <v>1.17</v>
      </c>
      <c r="M33" s="56">
        <f t="shared" si="3"/>
        <v>1755</v>
      </c>
      <c r="N33" s="688">
        <f>IF(M33="","",M33/100*O3+M33)</f>
        <v>1755</v>
      </c>
      <c r="O33" s="689"/>
      <c r="P33" s="58">
        <f t="shared" si="14"/>
        <v>1.17</v>
      </c>
      <c r="Q33" s="66">
        <f t="shared" si="12"/>
        <v>1755</v>
      </c>
      <c r="R33" s="68">
        <f t="shared" si="13"/>
        <v>4.6099999999999994</v>
      </c>
      <c r="S33" s="66">
        <f t="shared" si="4"/>
        <v>6914.9999999999991</v>
      </c>
      <c r="T33" s="51">
        <f t="shared" si="5"/>
        <v>3.44</v>
      </c>
      <c r="U33" s="51">
        <f t="shared" si="15"/>
        <v>1.17</v>
      </c>
    </row>
    <row r="34" spans="1:28" s="51" customFormat="1" ht="15" customHeight="1" x14ac:dyDescent="0.25">
      <c r="A34" s="177"/>
      <c r="B34" s="178" t="s">
        <v>146</v>
      </c>
      <c r="C34" s="177"/>
      <c r="D34" s="77" t="s">
        <v>81</v>
      </c>
      <c r="E34" s="217">
        <v>1500</v>
      </c>
      <c r="F34" s="54">
        <v>0.06</v>
      </c>
      <c r="G34" s="47">
        <f t="shared" si="0"/>
        <v>90</v>
      </c>
      <c r="H34" s="686">
        <f>(IF(G34="","",G34*I5))</f>
        <v>3870</v>
      </c>
      <c r="I34" s="687"/>
      <c r="J34" s="63">
        <f t="shared" si="1"/>
        <v>2.58</v>
      </c>
      <c r="K34" s="62">
        <f t="shared" si="2"/>
        <v>3870</v>
      </c>
      <c r="L34" s="166">
        <v>1.17</v>
      </c>
      <c r="M34" s="56">
        <f t="shared" si="3"/>
        <v>1755</v>
      </c>
      <c r="N34" s="688">
        <f>IF(M34="","",M34/100*O4+M34)</f>
        <v>1755</v>
      </c>
      <c r="O34" s="689"/>
      <c r="P34" s="58">
        <f t="shared" si="14"/>
        <v>1.17</v>
      </c>
      <c r="Q34" s="66">
        <f t="shared" si="12"/>
        <v>1755</v>
      </c>
      <c r="R34" s="68">
        <f t="shared" si="13"/>
        <v>3.75</v>
      </c>
      <c r="S34" s="66">
        <f t="shared" si="4"/>
        <v>5625</v>
      </c>
      <c r="T34" s="51">
        <f t="shared" si="5"/>
        <v>2.58</v>
      </c>
      <c r="U34" s="51">
        <f t="shared" si="15"/>
        <v>1.17</v>
      </c>
      <c r="X34" s="706" t="s">
        <v>135</v>
      </c>
      <c r="Y34" s="707"/>
      <c r="Z34" s="707"/>
      <c r="AA34" s="170">
        <v>1.29</v>
      </c>
      <c r="AB34" s="170">
        <f>SUM(AA34/100)</f>
        <v>1.29E-2</v>
      </c>
    </row>
    <row r="35" spans="1:28" s="51" customFormat="1" ht="15" customHeight="1" x14ac:dyDescent="0.25">
      <c r="A35" s="177"/>
      <c r="B35" s="178" t="s">
        <v>146</v>
      </c>
      <c r="C35" s="177"/>
      <c r="D35" s="100" t="s">
        <v>147</v>
      </c>
      <c r="E35" s="217"/>
      <c r="F35" s="54"/>
      <c r="G35" s="47" t="str">
        <f>(IF(F35="","",E35*F35))</f>
        <v/>
      </c>
      <c r="H35" s="686" t="str">
        <f>(IF(G35="","",G35*I5))</f>
        <v/>
      </c>
      <c r="I35" s="687"/>
      <c r="J35" s="63" t="str">
        <f>IF(H35&lt;1,0,T35)</f>
        <v/>
      </c>
      <c r="K35" s="62" t="str">
        <f>IF(J35="","",E35*J35)</f>
        <v/>
      </c>
      <c r="L35" s="166">
        <v>1.17</v>
      </c>
      <c r="M35" s="56">
        <f t="shared" si="3"/>
        <v>0</v>
      </c>
      <c r="N35" s="688">
        <f>IF(M35="","",M35/100*O2+M35)</f>
        <v>0</v>
      </c>
      <c r="O35" s="689"/>
      <c r="P35" s="58">
        <f>IF(N35&lt;1,0,U35)</f>
        <v>0</v>
      </c>
      <c r="Q35" s="66">
        <f>IF(P35="","",E35*P35)</f>
        <v>0</v>
      </c>
      <c r="R35" s="68" t="str">
        <f>IF(J35="","",J35+P35)</f>
        <v/>
      </c>
      <c r="S35" s="66" t="str">
        <f t="shared" si="4"/>
        <v/>
      </c>
      <c r="T35" s="51" t="str">
        <f>IF(H35="","",H35/E35)</f>
        <v/>
      </c>
      <c r="U35" s="51" t="e">
        <f>IF(N35="","",N35/E35)</f>
        <v>#DIV/0!</v>
      </c>
      <c r="X35" s="126" t="s">
        <v>136</v>
      </c>
      <c r="AA35" s="170">
        <v>10</v>
      </c>
      <c r="AB35" s="170">
        <f>SUM(AA35/750)</f>
        <v>1.3333333333333334E-2</v>
      </c>
    </row>
    <row r="36" spans="1:28" s="51" customFormat="1" ht="15" customHeight="1" x14ac:dyDescent="0.25">
      <c r="A36" s="52"/>
      <c r="B36" s="52"/>
      <c r="C36" s="52"/>
      <c r="D36" s="100"/>
      <c r="E36" s="53"/>
      <c r="F36" s="54"/>
      <c r="G36" s="47"/>
      <c r="H36" s="173"/>
      <c r="I36" s="174"/>
      <c r="J36" s="63"/>
      <c r="K36" s="62"/>
      <c r="L36" s="55"/>
      <c r="M36" s="56"/>
      <c r="N36" s="94"/>
      <c r="O36" s="95"/>
      <c r="P36" s="58"/>
      <c r="Q36" s="66"/>
      <c r="R36" s="68"/>
      <c r="S36" s="66"/>
      <c r="W36" s="708" t="s">
        <v>137</v>
      </c>
      <c r="X36" s="707"/>
      <c r="Y36" s="707"/>
      <c r="Z36" s="707"/>
      <c r="AA36" s="170">
        <v>156</v>
      </c>
      <c r="AB36" s="170">
        <f t="shared" ref="AB36" si="16">SUM(AA36/100)</f>
        <v>1.56</v>
      </c>
    </row>
    <row r="37" spans="1:28" s="51" customFormat="1" ht="15" customHeight="1" x14ac:dyDescent="0.25">
      <c r="A37" s="177"/>
      <c r="B37" s="178" t="s">
        <v>146</v>
      </c>
      <c r="C37" s="177"/>
      <c r="D37" s="77" t="s">
        <v>55</v>
      </c>
      <c r="E37" s="217"/>
      <c r="F37" s="54">
        <v>0.08</v>
      </c>
      <c r="G37" s="47">
        <f t="shared" ref="G37:G38" si="17">(IF(F37="","",E37*F37))</f>
        <v>0</v>
      </c>
      <c r="H37" s="686">
        <f>(IF(G37="","",G37*I5))</f>
        <v>0</v>
      </c>
      <c r="I37" s="687"/>
      <c r="J37" s="63">
        <f t="shared" ref="J37:J38" si="18">IF(H37&lt;1,0,T37)</f>
        <v>0</v>
      </c>
      <c r="K37" s="62">
        <f t="shared" ref="K37:K38" si="19">IF(J37="","",E37*J37)</f>
        <v>0</v>
      </c>
      <c r="L37" s="166">
        <v>1.95</v>
      </c>
      <c r="M37" s="56">
        <f t="shared" ref="M37:M100" si="20">IF(L37="","",E37*L37)</f>
        <v>0</v>
      </c>
      <c r="N37" s="688">
        <f>IF(M37="","",M37/100*O5+M37)</f>
        <v>0</v>
      </c>
      <c r="O37" s="689"/>
      <c r="P37" s="58">
        <f t="shared" ref="P37:P38" si="21">IF(N37&lt;1,0,U37)</f>
        <v>0</v>
      </c>
      <c r="Q37" s="66">
        <f t="shared" ref="Q37:Q38" si="22">IF(P37="","",E37*P37)</f>
        <v>0</v>
      </c>
      <c r="R37" s="68">
        <f t="shared" ref="R37:R38" si="23">IF(J37="","",J37+P37)</f>
        <v>0</v>
      </c>
      <c r="S37" s="66">
        <f t="shared" ref="S37:S38" si="24">IF(R37="","",E37*R37)</f>
        <v>0</v>
      </c>
      <c r="T37" s="51" t="e">
        <f t="shared" ref="T37:T38" si="25">IF(H37="","",H37/E37)</f>
        <v>#DIV/0!</v>
      </c>
      <c r="U37" s="51" t="e">
        <f t="shared" ref="U37:U38" si="26">IF(N37="","",N37/E37)</f>
        <v>#DIV/0!</v>
      </c>
      <c r="AB37" s="170">
        <f>SUM(AB34:AB36)</f>
        <v>1.5862333333333334</v>
      </c>
    </row>
    <row r="38" spans="1:28" s="51" customFormat="1" ht="15" customHeight="1" x14ac:dyDescent="0.25">
      <c r="A38" s="177"/>
      <c r="B38" s="178" t="s">
        <v>146</v>
      </c>
      <c r="C38" s="177"/>
      <c r="D38" s="77" t="s">
        <v>82</v>
      </c>
      <c r="E38" s="217"/>
      <c r="F38" s="54">
        <v>0.06</v>
      </c>
      <c r="G38" s="47">
        <f t="shared" si="17"/>
        <v>0</v>
      </c>
      <c r="H38" s="686">
        <f>(IF(G38="","",G38*I5))</f>
        <v>0</v>
      </c>
      <c r="I38" s="687"/>
      <c r="J38" s="63">
        <f t="shared" si="18"/>
        <v>0</v>
      </c>
      <c r="K38" s="62">
        <f t="shared" si="19"/>
        <v>0</v>
      </c>
      <c r="L38" s="166">
        <v>1.95</v>
      </c>
      <c r="M38" s="56">
        <f t="shared" si="20"/>
        <v>0</v>
      </c>
      <c r="N38" s="688">
        <f>IF(M38="","",M38/100*O6+M38)</f>
        <v>0</v>
      </c>
      <c r="O38" s="689"/>
      <c r="P38" s="58">
        <f t="shared" si="21"/>
        <v>0</v>
      </c>
      <c r="Q38" s="66">
        <f t="shared" si="22"/>
        <v>0</v>
      </c>
      <c r="R38" s="68">
        <f t="shared" si="23"/>
        <v>0</v>
      </c>
      <c r="S38" s="66">
        <f t="shared" si="24"/>
        <v>0</v>
      </c>
      <c r="T38" s="51" t="e">
        <f t="shared" si="25"/>
        <v>#DIV/0!</v>
      </c>
      <c r="U38" s="51" t="e">
        <f t="shared" si="26"/>
        <v>#DIV/0!</v>
      </c>
    </row>
    <row r="39" spans="1:28" s="51" customFormat="1" ht="15" customHeight="1" x14ac:dyDescent="0.25">
      <c r="A39" s="177"/>
      <c r="B39" s="178" t="s">
        <v>146</v>
      </c>
      <c r="C39" s="177"/>
      <c r="D39" s="100" t="s">
        <v>61</v>
      </c>
      <c r="E39" s="217"/>
      <c r="F39" s="54"/>
      <c r="G39" s="47" t="str">
        <f>(IF(F39="","",E39*F39))</f>
        <v/>
      </c>
      <c r="H39" s="686" t="str">
        <f>(IF(G39="","",G39*I5))</f>
        <v/>
      </c>
      <c r="I39" s="687"/>
      <c r="J39" s="63" t="str">
        <f>IF(H39&lt;1,0,T39)</f>
        <v/>
      </c>
      <c r="K39" s="62" t="str">
        <f>IF(J39="","",E39*J39)</f>
        <v/>
      </c>
      <c r="L39" s="166">
        <v>1.95</v>
      </c>
      <c r="M39" s="56">
        <f t="shared" si="20"/>
        <v>0</v>
      </c>
      <c r="N39" s="688">
        <f>IF(M39="","",M39/100*O5+M39)</f>
        <v>0</v>
      </c>
      <c r="O39" s="689"/>
      <c r="P39" s="58">
        <f>IF(N39&lt;1,0,U39)</f>
        <v>0</v>
      </c>
      <c r="Q39" s="66">
        <f>IF(P39="","",E39*P39)</f>
        <v>0</v>
      </c>
      <c r="R39" s="68" t="str">
        <f>IF(J39="","",J39+P39)</f>
        <v/>
      </c>
      <c r="S39" s="66" t="str">
        <f t="shared" si="4"/>
        <v/>
      </c>
      <c r="T39" s="51" t="str">
        <f>IF(H39="","",H39/E39)</f>
        <v/>
      </c>
      <c r="U39" s="51" t="e">
        <f>IF(N39="","",N39/E39)</f>
        <v>#DIV/0!</v>
      </c>
    </row>
    <row r="40" spans="1:28" s="51" customFormat="1" ht="15" customHeight="1" x14ac:dyDescent="0.25">
      <c r="A40" s="52"/>
      <c r="B40" s="52"/>
      <c r="C40" s="52"/>
      <c r="D40" s="52"/>
      <c r="E40" s="53"/>
      <c r="F40" s="54">
        <v>0</v>
      </c>
      <c r="G40" s="47">
        <f t="shared" si="0"/>
        <v>0</v>
      </c>
      <c r="H40" s="686">
        <f>(IF(G40="","",G40*I5))</f>
        <v>0</v>
      </c>
      <c r="I40" s="687"/>
      <c r="J40" s="63">
        <f t="shared" si="1"/>
        <v>0</v>
      </c>
      <c r="K40" s="62">
        <f t="shared" si="2"/>
        <v>0</v>
      </c>
      <c r="L40" s="55">
        <v>0</v>
      </c>
      <c r="M40" s="56">
        <f t="shared" si="20"/>
        <v>0</v>
      </c>
      <c r="N40" s="688">
        <f>IF(M40="","",M40/100*O5+M40)</f>
        <v>0</v>
      </c>
      <c r="O40" s="689"/>
      <c r="P40" s="58">
        <f t="shared" si="14"/>
        <v>0</v>
      </c>
      <c r="Q40" s="66">
        <f t="shared" ref="Q40:Q114" si="27">IF(P40="","",E40*P40)</f>
        <v>0</v>
      </c>
      <c r="R40" s="68">
        <f t="shared" si="13"/>
        <v>0</v>
      </c>
      <c r="S40" s="66">
        <f t="shared" si="4"/>
        <v>0</v>
      </c>
      <c r="T40" s="51" t="e">
        <f t="shared" si="5"/>
        <v>#DIV/0!</v>
      </c>
      <c r="U40" s="51" t="e">
        <f t="shared" si="15"/>
        <v>#DIV/0!</v>
      </c>
    </row>
    <row r="41" spans="1:28" s="51" customFormat="1" ht="15" customHeight="1" x14ac:dyDescent="0.25">
      <c r="A41" s="177"/>
      <c r="B41" s="178" t="s">
        <v>146</v>
      </c>
      <c r="C41" s="177"/>
      <c r="D41" s="101" t="s">
        <v>54</v>
      </c>
      <c r="E41" s="217"/>
      <c r="F41" s="54">
        <v>0.08</v>
      </c>
      <c r="G41" s="47">
        <f t="shared" si="0"/>
        <v>0</v>
      </c>
      <c r="H41" s="686">
        <f>(IF(G41="","",G41*I5))</f>
        <v>0</v>
      </c>
      <c r="I41" s="687"/>
      <c r="J41" s="63">
        <f t="shared" si="1"/>
        <v>0</v>
      </c>
      <c r="K41" s="62">
        <f t="shared" si="2"/>
        <v>0</v>
      </c>
      <c r="L41" s="166">
        <v>1.55</v>
      </c>
      <c r="M41" s="56">
        <f t="shared" si="20"/>
        <v>0</v>
      </c>
      <c r="N41" s="688">
        <f>IF(M41="","",M41/100*O5+M41)</f>
        <v>0</v>
      </c>
      <c r="O41" s="689"/>
      <c r="P41" s="58">
        <f t="shared" si="14"/>
        <v>0</v>
      </c>
      <c r="Q41" s="66">
        <f t="shared" si="27"/>
        <v>0</v>
      </c>
      <c r="R41" s="68">
        <f t="shared" si="13"/>
        <v>0</v>
      </c>
      <c r="S41" s="66">
        <f t="shared" si="4"/>
        <v>0</v>
      </c>
      <c r="T41" s="51" t="e">
        <f t="shared" si="5"/>
        <v>#DIV/0!</v>
      </c>
      <c r="U41" s="51" t="e">
        <f t="shared" si="15"/>
        <v>#DIV/0!</v>
      </c>
    </row>
    <row r="42" spans="1:28" s="51" customFormat="1" ht="15" customHeight="1" x14ac:dyDescent="0.25">
      <c r="A42" s="177"/>
      <c r="B42" s="178" t="s">
        <v>146</v>
      </c>
      <c r="C42" s="177"/>
      <c r="D42" s="101" t="s">
        <v>84</v>
      </c>
      <c r="E42" s="217"/>
      <c r="F42" s="54">
        <v>0.06</v>
      </c>
      <c r="G42" s="47">
        <f t="shared" si="0"/>
        <v>0</v>
      </c>
      <c r="H42" s="686">
        <f>(IF(G42="","",G42*I5))</f>
        <v>0</v>
      </c>
      <c r="I42" s="687"/>
      <c r="J42" s="63">
        <f t="shared" si="1"/>
        <v>0</v>
      </c>
      <c r="K42" s="62">
        <f t="shared" si="2"/>
        <v>0</v>
      </c>
      <c r="L42" s="166">
        <v>1.55</v>
      </c>
      <c r="M42" s="56">
        <f t="shared" si="20"/>
        <v>0</v>
      </c>
      <c r="N42" s="688">
        <f>IF(M42="","",M42/100*O6+M42)</f>
        <v>0</v>
      </c>
      <c r="O42" s="689"/>
      <c r="P42" s="58">
        <f t="shared" si="14"/>
        <v>0</v>
      </c>
      <c r="Q42" s="66">
        <f t="shared" si="27"/>
        <v>0</v>
      </c>
      <c r="R42" s="68">
        <f t="shared" si="13"/>
        <v>0</v>
      </c>
      <c r="S42" s="66">
        <f t="shared" si="4"/>
        <v>0</v>
      </c>
      <c r="T42" s="51" t="e">
        <f t="shared" si="5"/>
        <v>#DIV/0!</v>
      </c>
      <c r="U42" s="51" t="e">
        <f t="shared" si="15"/>
        <v>#DIV/0!</v>
      </c>
    </row>
    <row r="43" spans="1:28" s="51" customFormat="1" ht="15" customHeight="1" x14ac:dyDescent="0.25">
      <c r="A43" s="177"/>
      <c r="B43" s="178" t="s">
        <v>146</v>
      </c>
      <c r="C43" s="177"/>
      <c r="D43" s="102" t="s">
        <v>59</v>
      </c>
      <c r="E43" s="217"/>
      <c r="F43" s="54"/>
      <c r="G43" s="47" t="str">
        <f>(IF(F43="","",E43*F43))</f>
        <v/>
      </c>
      <c r="H43" s="686" t="str">
        <f>(IF(G43="","",G43*I6))</f>
        <v/>
      </c>
      <c r="I43" s="687"/>
      <c r="J43" s="63" t="str">
        <f>IF(H43&lt;1,0,T43)</f>
        <v/>
      </c>
      <c r="K43" s="62" t="str">
        <f>IF(J43="","",E43*J43)</f>
        <v/>
      </c>
      <c r="L43" s="166">
        <v>1.55</v>
      </c>
      <c r="M43" s="56">
        <f t="shared" si="20"/>
        <v>0</v>
      </c>
      <c r="N43" s="688">
        <f>IF(M43="","",M43/100*O6+M43)</f>
        <v>0</v>
      </c>
      <c r="O43" s="689"/>
      <c r="P43" s="58">
        <f>IF(N43&lt;1,0,U43)</f>
        <v>0</v>
      </c>
      <c r="Q43" s="66">
        <f>IF(P43="","",E43*P43)</f>
        <v>0</v>
      </c>
      <c r="R43" s="68" t="str">
        <f>IF(J43="","",J43+P43)</f>
        <v/>
      </c>
      <c r="S43" s="66" t="str">
        <f>IF(R43="","",E43*R43)</f>
        <v/>
      </c>
      <c r="T43" s="51" t="str">
        <f>IF(H43="","",H43/E43)</f>
        <v/>
      </c>
      <c r="U43" s="51" t="e">
        <f>IF(N43="","",N43/E43)</f>
        <v>#DIV/0!</v>
      </c>
    </row>
    <row r="44" spans="1:28" s="51" customFormat="1" ht="15" customHeight="1" x14ac:dyDescent="0.25">
      <c r="A44" s="52"/>
      <c r="B44" s="52"/>
      <c r="C44" s="52"/>
      <c r="D44" s="102"/>
      <c r="E44" s="53"/>
      <c r="F44" s="54"/>
      <c r="G44" s="47" t="str">
        <f>(IF(F44="","",E44*F44))</f>
        <v/>
      </c>
      <c r="H44" s="173"/>
      <c r="I44" s="174"/>
      <c r="J44" s="63"/>
      <c r="K44" s="62"/>
      <c r="L44" s="55"/>
      <c r="M44" s="56"/>
      <c r="N44" s="94"/>
      <c r="O44" s="95"/>
      <c r="P44" s="58"/>
      <c r="Q44" s="66"/>
      <c r="R44" s="68"/>
      <c r="S44" s="66"/>
    </row>
    <row r="45" spans="1:28" s="51" customFormat="1" ht="15" customHeight="1" x14ac:dyDescent="0.25">
      <c r="A45" s="52"/>
      <c r="B45" s="52"/>
      <c r="C45" s="52"/>
      <c r="D45" s="101"/>
      <c r="E45" s="53"/>
      <c r="F45" s="54"/>
      <c r="G45" s="47"/>
      <c r="H45" s="173"/>
      <c r="I45" s="174"/>
      <c r="J45" s="63"/>
      <c r="K45" s="62"/>
      <c r="L45" s="55"/>
      <c r="M45" s="56"/>
      <c r="N45" s="94"/>
      <c r="O45" s="95"/>
      <c r="P45" s="58"/>
      <c r="Q45" s="66"/>
      <c r="R45" s="68"/>
      <c r="S45" s="66"/>
    </row>
    <row r="46" spans="1:28" s="51" customFormat="1" ht="15" customHeight="1" x14ac:dyDescent="0.25">
      <c r="A46" s="177"/>
      <c r="B46" s="178" t="s">
        <v>146</v>
      </c>
      <c r="C46" s="177"/>
      <c r="D46" s="101" t="s">
        <v>53</v>
      </c>
      <c r="E46" s="217"/>
      <c r="F46" s="54">
        <v>0.08</v>
      </c>
      <c r="G46" s="47">
        <f t="shared" si="0"/>
        <v>0</v>
      </c>
      <c r="H46" s="686">
        <f>(IF(G46="","",G46*I5))</f>
        <v>0</v>
      </c>
      <c r="I46" s="687"/>
      <c r="J46" s="63">
        <f t="shared" si="1"/>
        <v>0</v>
      </c>
      <c r="K46" s="62">
        <f t="shared" si="2"/>
        <v>0</v>
      </c>
      <c r="L46" s="166">
        <v>2.78</v>
      </c>
      <c r="M46" s="56">
        <f t="shared" si="20"/>
        <v>0</v>
      </c>
      <c r="N46" s="688">
        <f>IF(M46="","",M46/100*O5+M46)</f>
        <v>0</v>
      </c>
      <c r="O46" s="689"/>
      <c r="P46" s="58">
        <f t="shared" si="14"/>
        <v>0</v>
      </c>
      <c r="Q46" s="66">
        <f t="shared" si="27"/>
        <v>0</v>
      </c>
      <c r="R46" s="68">
        <f t="shared" ref="R46:R124" si="28">IF(J46="","",J46+P46)</f>
        <v>0</v>
      </c>
      <c r="S46" s="66">
        <f t="shared" ref="S46:S124" si="29">IF(R46="","",E46*R46)</f>
        <v>0</v>
      </c>
      <c r="T46" s="51" t="e">
        <f t="shared" si="5"/>
        <v>#DIV/0!</v>
      </c>
      <c r="U46" s="51" t="e">
        <f t="shared" si="15"/>
        <v>#DIV/0!</v>
      </c>
    </row>
    <row r="47" spans="1:28" s="51" customFormat="1" ht="15" customHeight="1" x14ac:dyDescent="0.25">
      <c r="A47" s="177"/>
      <c r="B47" s="178" t="s">
        <v>146</v>
      </c>
      <c r="C47" s="177"/>
      <c r="D47" s="101" t="s">
        <v>83</v>
      </c>
      <c r="E47" s="217"/>
      <c r="F47" s="54">
        <v>0.06</v>
      </c>
      <c r="G47" s="47">
        <f t="shared" si="0"/>
        <v>0</v>
      </c>
      <c r="H47" s="686">
        <f>(IF(G47="","",G47*I5))</f>
        <v>0</v>
      </c>
      <c r="I47" s="687"/>
      <c r="J47" s="63">
        <f>IF(H47&lt;1,0,T47)</f>
        <v>0</v>
      </c>
      <c r="K47" s="62">
        <f t="shared" si="2"/>
        <v>0</v>
      </c>
      <c r="L47" s="166">
        <v>2.78</v>
      </c>
      <c r="M47" s="56">
        <f t="shared" si="20"/>
        <v>0</v>
      </c>
      <c r="N47" s="688">
        <f>IF(M47="","",M47/100*O6+M47)</f>
        <v>0</v>
      </c>
      <c r="O47" s="689"/>
      <c r="P47" s="58">
        <f t="shared" si="14"/>
        <v>0</v>
      </c>
      <c r="Q47" s="66">
        <f t="shared" si="27"/>
        <v>0</v>
      </c>
      <c r="R47" s="68">
        <f t="shared" si="28"/>
        <v>0</v>
      </c>
      <c r="S47" s="66">
        <f t="shared" si="29"/>
        <v>0</v>
      </c>
      <c r="T47" s="51" t="e">
        <f t="shared" si="5"/>
        <v>#DIV/0!</v>
      </c>
      <c r="U47" s="51" t="e">
        <f t="shared" si="15"/>
        <v>#DIV/0!</v>
      </c>
    </row>
    <row r="48" spans="1:28" s="51" customFormat="1" ht="15" customHeight="1" x14ac:dyDescent="0.25">
      <c r="A48" s="177"/>
      <c r="B48" s="178" t="s">
        <v>146</v>
      </c>
      <c r="C48" s="177"/>
      <c r="D48" s="102" t="s">
        <v>57</v>
      </c>
      <c r="E48" s="217"/>
      <c r="F48" s="54"/>
      <c r="G48" s="47" t="str">
        <f>(IF(F48="","",E48*F48))</f>
        <v/>
      </c>
      <c r="H48" s="686" t="str">
        <f>(IF(G48="","",G48*I5))</f>
        <v/>
      </c>
      <c r="I48" s="687"/>
      <c r="J48" s="63" t="str">
        <f>IF(H48&lt;1,0,T48)</f>
        <v/>
      </c>
      <c r="K48" s="62" t="str">
        <f>IF(J48="","",E48*J48)</f>
        <v/>
      </c>
      <c r="L48" s="166">
        <v>2.78</v>
      </c>
      <c r="M48" s="56">
        <f t="shared" si="20"/>
        <v>0</v>
      </c>
      <c r="N48" s="688">
        <f>IF(M48="","",M48/100*O6+M48)</f>
        <v>0</v>
      </c>
      <c r="O48" s="689"/>
      <c r="P48" s="58">
        <f>IF(N48&lt;1,0,U48)</f>
        <v>0</v>
      </c>
      <c r="Q48" s="66">
        <f>IF(P48="","",E48*P48)</f>
        <v>0</v>
      </c>
      <c r="R48" s="68" t="str">
        <f>IF(J48="","",J48+P48)</f>
        <v/>
      </c>
      <c r="S48" s="66" t="str">
        <f>IF(R48="","",E48*R48)</f>
        <v/>
      </c>
      <c r="T48" s="51" t="str">
        <f>IF(H48="","",H48/E48)</f>
        <v/>
      </c>
      <c r="U48" s="51" t="e">
        <f>IF(N48="","",N48/E48)</f>
        <v>#DIV/0!</v>
      </c>
    </row>
    <row r="49" spans="1:23" s="51" customFormat="1" ht="15" customHeight="1" x14ac:dyDescent="0.25">
      <c r="A49" s="52"/>
      <c r="B49" s="52"/>
      <c r="C49" s="52"/>
      <c r="D49" s="52"/>
      <c r="E49" s="53"/>
      <c r="F49" s="54"/>
      <c r="G49" s="47"/>
      <c r="H49" s="173"/>
      <c r="I49" s="174"/>
      <c r="J49" s="63"/>
      <c r="K49" s="62"/>
      <c r="L49" s="55"/>
      <c r="M49" s="56"/>
      <c r="N49" s="94"/>
      <c r="O49" s="95"/>
      <c r="P49" s="58"/>
      <c r="Q49" s="66"/>
      <c r="R49" s="68"/>
      <c r="S49" s="66"/>
    </row>
    <row r="50" spans="1:23" s="51" customFormat="1" ht="15" customHeight="1" x14ac:dyDescent="0.25">
      <c r="A50" s="69"/>
      <c r="B50" s="70" t="s">
        <v>154</v>
      </c>
      <c r="C50" s="69"/>
      <c r="D50" s="214" t="s">
        <v>88</v>
      </c>
      <c r="E50" s="217"/>
      <c r="F50" s="201">
        <v>0.08</v>
      </c>
      <c r="G50" s="202">
        <f>(IF(F50="","",E50*F50))</f>
        <v>0</v>
      </c>
      <c r="H50" s="709">
        <f>(IF(G50="","",G50*I5))</f>
        <v>0</v>
      </c>
      <c r="I50" s="710"/>
      <c r="J50" s="96">
        <f>IF(H50&lt;1,0,T50)</f>
        <v>0</v>
      </c>
      <c r="K50" s="98">
        <f>IF(J50="","",E50*J50)</f>
        <v>0</v>
      </c>
      <c r="L50" s="104">
        <v>4.2</v>
      </c>
      <c r="M50" s="56">
        <f>IF(L50="","",E50*L50)</f>
        <v>0</v>
      </c>
      <c r="N50" s="688">
        <f>IF(M50="","",M50/100*O5+M50)</f>
        <v>0</v>
      </c>
      <c r="O50" s="689"/>
      <c r="P50" s="58">
        <f>IF(N50&lt;1,0,U50)</f>
        <v>0</v>
      </c>
      <c r="Q50" s="66">
        <f>IF(P50="","",E50*P50)</f>
        <v>0</v>
      </c>
      <c r="R50" s="68">
        <f>IF(J50="","",J50+P50)</f>
        <v>0</v>
      </c>
      <c r="S50" s="66">
        <f>IF(R50="","",E50*R50)</f>
        <v>0</v>
      </c>
      <c r="T50" s="51" t="e">
        <f>IF(H50="","",H50/E50)</f>
        <v>#DIV/0!</v>
      </c>
      <c r="U50" s="51" t="e">
        <f>IF(N50="","",N50/E50)</f>
        <v>#DIV/0!</v>
      </c>
    </row>
    <row r="51" spans="1:23" s="51" customFormat="1" ht="15" customHeight="1" x14ac:dyDescent="0.25">
      <c r="A51" s="69"/>
      <c r="B51" s="70" t="s">
        <v>154</v>
      </c>
      <c r="C51" s="69"/>
      <c r="D51" s="214" t="s">
        <v>87</v>
      </c>
      <c r="E51" s="217"/>
      <c r="F51" s="201">
        <v>0.04</v>
      </c>
      <c r="G51" s="202">
        <f>(IF(F51="","",E51*F51))</f>
        <v>0</v>
      </c>
      <c r="H51" s="709">
        <f>(IF(G51="","",G51*I5))</f>
        <v>0</v>
      </c>
      <c r="I51" s="710"/>
      <c r="J51" s="96">
        <f>IF(H51&lt;1,0,T51)</f>
        <v>0</v>
      </c>
      <c r="K51" s="98">
        <f>IF(J51="","",E51*J51)</f>
        <v>0</v>
      </c>
      <c r="L51" s="104">
        <v>4.2</v>
      </c>
      <c r="M51" s="56">
        <f>IF(L51="","",E51*L51)</f>
        <v>0</v>
      </c>
      <c r="N51" s="688">
        <f>IF(M51="","",M51/100*O6+M51)</f>
        <v>0</v>
      </c>
      <c r="O51" s="689"/>
      <c r="P51" s="58">
        <f>IF(N51&lt;1,0,U51)</f>
        <v>0</v>
      </c>
      <c r="Q51" s="66">
        <f>IF(P51="","",E51*P51)</f>
        <v>0</v>
      </c>
      <c r="R51" s="68">
        <f>IF(J51="","",J51+P51)</f>
        <v>0</v>
      </c>
      <c r="S51" s="66">
        <f>IF(R51="","",E51*R51)</f>
        <v>0</v>
      </c>
      <c r="T51" s="51" t="e">
        <f>IF(H51="","",H51/E51)</f>
        <v>#DIV/0!</v>
      </c>
      <c r="U51" s="51" t="e">
        <f>IF(N51="","",N51/E51)</f>
        <v>#DIV/0!</v>
      </c>
    </row>
    <row r="52" spans="1:23" s="51" customFormat="1" ht="15" customHeight="1" x14ac:dyDescent="0.25">
      <c r="A52" s="69"/>
      <c r="B52" s="70" t="s">
        <v>114</v>
      </c>
      <c r="C52" s="69"/>
      <c r="D52" s="214" t="s">
        <v>70</v>
      </c>
      <c r="E52" s="217"/>
      <c r="F52" s="54">
        <v>0.1</v>
      </c>
      <c r="G52" s="47">
        <f t="shared" ref="G52" si="30">(IF(F52="","",E52*F52))</f>
        <v>0</v>
      </c>
      <c r="H52" s="686">
        <f>(IF(G52="","",G52*I5))</f>
        <v>0</v>
      </c>
      <c r="I52" s="687"/>
      <c r="J52" s="63">
        <f t="shared" ref="J52" si="31">IF(H52&lt;1,0,T52)</f>
        <v>0</v>
      </c>
      <c r="K52" s="62">
        <f t="shared" ref="K52" si="32">IF(J52="","",E52*J52)</f>
        <v>0</v>
      </c>
      <c r="L52" s="55">
        <v>6.5</v>
      </c>
      <c r="M52" s="56">
        <f t="shared" ref="M52" si="33">IF(L52="","",E52*L52)</f>
        <v>0</v>
      </c>
      <c r="N52" s="688">
        <f>IF(M52="","",M52/100*O5+M52)</f>
        <v>0</v>
      </c>
      <c r="O52" s="689"/>
      <c r="P52" s="58">
        <f t="shared" ref="P52" si="34">IF(N52&lt;1,0,U52)</f>
        <v>0</v>
      </c>
      <c r="Q52" s="66">
        <f t="shared" ref="Q52" si="35">IF(P52="","",E52*P52)</f>
        <v>0</v>
      </c>
      <c r="R52" s="68">
        <f t="shared" ref="R52" si="36">IF(J52="","",J52+P52)</f>
        <v>0</v>
      </c>
      <c r="S52" s="66">
        <f t="shared" ref="S52" si="37">IF(R52="","",E52*R52)</f>
        <v>0</v>
      </c>
      <c r="T52" s="51" t="e">
        <f t="shared" ref="T52" si="38">IF(H52="","",H52/E52)</f>
        <v>#DIV/0!</v>
      </c>
      <c r="U52" s="51" t="e">
        <f t="shared" ref="U52" si="39">IF(N52="","",N52/E52)</f>
        <v>#DIV/0!</v>
      </c>
    </row>
    <row r="53" spans="1:23" s="51" customFormat="1" ht="15" customHeight="1" x14ac:dyDescent="0.25">
      <c r="A53" s="183"/>
      <c r="B53" s="184" t="s">
        <v>157</v>
      </c>
      <c r="C53" s="183"/>
      <c r="D53" s="214" t="s">
        <v>155</v>
      </c>
      <c r="E53" s="217"/>
      <c r="F53" s="54">
        <v>0.08</v>
      </c>
      <c r="G53" s="47">
        <f t="shared" si="0"/>
        <v>0</v>
      </c>
      <c r="H53" s="686">
        <f>(IF(G53="","",G53*I5))</f>
        <v>0</v>
      </c>
      <c r="I53" s="687"/>
      <c r="J53" s="63">
        <f t="shared" si="1"/>
        <v>0</v>
      </c>
      <c r="K53" s="62">
        <f t="shared" si="2"/>
        <v>0</v>
      </c>
      <c r="L53" s="185">
        <v>4.78</v>
      </c>
      <c r="M53" s="56">
        <f t="shared" si="20"/>
        <v>0</v>
      </c>
      <c r="N53" s="688">
        <f>IF(M53="","",M53/100*O6+M53)</f>
        <v>0</v>
      </c>
      <c r="O53" s="689"/>
      <c r="P53" s="58">
        <f t="shared" si="14"/>
        <v>0</v>
      </c>
      <c r="Q53" s="66">
        <f t="shared" si="27"/>
        <v>0</v>
      </c>
      <c r="R53" s="68">
        <f t="shared" si="28"/>
        <v>0</v>
      </c>
      <c r="S53" s="66">
        <f t="shared" si="29"/>
        <v>0</v>
      </c>
      <c r="T53" s="51" t="e">
        <f t="shared" si="5"/>
        <v>#DIV/0!</v>
      </c>
      <c r="U53" s="51" t="e">
        <f t="shared" si="15"/>
        <v>#DIV/0!</v>
      </c>
    </row>
    <row r="54" spans="1:23" s="51" customFormat="1" ht="15" customHeight="1" x14ac:dyDescent="0.25">
      <c r="A54" s="183"/>
      <c r="B54" s="184" t="s">
        <v>157</v>
      </c>
      <c r="C54" s="183"/>
      <c r="D54" s="215" t="s">
        <v>58</v>
      </c>
      <c r="E54" s="217"/>
      <c r="F54" s="54"/>
      <c r="G54" s="47" t="str">
        <f t="shared" si="0"/>
        <v/>
      </c>
      <c r="H54" s="686" t="str">
        <f>(IF(G54="","",G54*I5))</f>
        <v/>
      </c>
      <c r="I54" s="687"/>
      <c r="J54" s="63" t="str">
        <f>IF(H54&lt;1,0,T54)</f>
        <v/>
      </c>
      <c r="K54" s="62" t="str">
        <f t="shared" si="2"/>
        <v/>
      </c>
      <c r="L54" s="185">
        <v>4.78</v>
      </c>
      <c r="M54" s="56">
        <f t="shared" si="20"/>
        <v>0</v>
      </c>
      <c r="N54" s="688">
        <f>IF(M54="","",M54/100*O7+M54)</f>
        <v>0</v>
      </c>
      <c r="O54" s="689"/>
      <c r="P54" s="58">
        <f>IF(N54&lt;1,0,U54)</f>
        <v>0</v>
      </c>
      <c r="Q54" s="66">
        <f>IF(P54="","",E54*P54)</f>
        <v>0</v>
      </c>
      <c r="R54" s="68" t="str">
        <f t="shared" si="28"/>
        <v/>
      </c>
      <c r="S54" s="66" t="str">
        <f t="shared" si="29"/>
        <v/>
      </c>
      <c r="T54" s="51" t="str">
        <f>IF(H54="","",H54/E54)</f>
        <v/>
      </c>
      <c r="U54" s="51" t="e">
        <f>IF(N54="","",N54/E54)</f>
        <v>#DIV/0!</v>
      </c>
    </row>
    <row r="55" spans="1:23" s="51" customFormat="1" ht="15" customHeight="1" x14ac:dyDescent="0.25">
      <c r="A55" s="69"/>
      <c r="B55" s="70" t="s">
        <v>154</v>
      </c>
      <c r="C55" s="69"/>
      <c r="D55" s="214" t="s">
        <v>90</v>
      </c>
      <c r="E55" s="217"/>
      <c r="F55" s="201">
        <v>0.08</v>
      </c>
      <c r="G55" s="202">
        <f>(IF(F55="","",E55*F55))</f>
        <v>0</v>
      </c>
      <c r="H55" s="709">
        <f>(IF(G55="","",G55*I5))</f>
        <v>0</v>
      </c>
      <c r="I55" s="710"/>
      <c r="J55" s="96">
        <f>IF(H55&lt;1,0,T55)</f>
        <v>0</v>
      </c>
      <c r="K55" s="98">
        <f>IF(J55="","",E55*J55)</f>
        <v>0</v>
      </c>
      <c r="L55" s="104">
        <v>3.17</v>
      </c>
      <c r="M55" s="56">
        <f>IF(L55="","",E55*L55)</f>
        <v>0</v>
      </c>
      <c r="N55" s="688">
        <f>IF(M55="","",M55/100*O8+M55)</f>
        <v>0</v>
      </c>
      <c r="O55" s="689"/>
      <c r="P55" s="58">
        <f>IF(N55&lt;1,0,U55)</f>
        <v>0</v>
      </c>
      <c r="Q55" s="66">
        <f>IF(P55="","",E55*P55)</f>
        <v>0</v>
      </c>
      <c r="R55" s="68">
        <f>IF(J55="","",J55+P55)</f>
        <v>0</v>
      </c>
      <c r="S55" s="66">
        <f>IF(R55="","",E55*R55)</f>
        <v>0</v>
      </c>
      <c r="T55" s="51" t="e">
        <f>IF(H55="","",H55/E55)</f>
        <v>#DIV/0!</v>
      </c>
      <c r="U55" s="51" t="e">
        <f>IF(N55="","",N55/E55)</f>
        <v>#DIV/0!</v>
      </c>
      <c r="W55" s="127" t="s">
        <v>139</v>
      </c>
    </row>
    <row r="56" spans="1:23" s="51" customFormat="1" ht="15" customHeight="1" x14ac:dyDescent="0.25">
      <c r="A56" s="69"/>
      <c r="B56" s="70" t="s">
        <v>154</v>
      </c>
      <c r="C56" s="69"/>
      <c r="D56" s="214" t="s">
        <v>89</v>
      </c>
      <c r="E56" s="217"/>
      <c r="F56" s="201">
        <v>0.04</v>
      </c>
      <c r="G56" s="202">
        <f>(IF(F56="","",E56*F56))</f>
        <v>0</v>
      </c>
      <c r="H56" s="709">
        <f>(IF(G56="","",G56*I5))</f>
        <v>0</v>
      </c>
      <c r="I56" s="710"/>
      <c r="J56" s="96">
        <f>IF(H56&lt;1,0,T56)</f>
        <v>0</v>
      </c>
      <c r="K56" s="98">
        <f>IF(J56="","",E56*J56)</f>
        <v>0</v>
      </c>
      <c r="L56" s="104">
        <v>3.17</v>
      </c>
      <c r="M56" s="56">
        <f>IF(L56="","",E56*L56)</f>
        <v>0</v>
      </c>
      <c r="N56" s="688">
        <f>IF(M56="","",M56/100*5+M56)</f>
        <v>0</v>
      </c>
      <c r="O56" s="689"/>
      <c r="P56" s="58">
        <f>IF(N56&lt;1,0,U56)</f>
        <v>0</v>
      </c>
      <c r="Q56" s="66">
        <f>IF(P56="","",E56*P56)</f>
        <v>0</v>
      </c>
      <c r="R56" s="68">
        <f>IF(J56="","",J56+P56)</f>
        <v>0</v>
      </c>
      <c r="S56" s="66">
        <f>IF(R56="","",E56*R56)</f>
        <v>0</v>
      </c>
      <c r="T56" s="51" t="e">
        <f>IF(H56="","",H56/E56)</f>
        <v>#DIV/0!</v>
      </c>
      <c r="U56" s="51" t="e">
        <f>IF(N56="","",N56/E56)</f>
        <v>#DIV/0!</v>
      </c>
    </row>
    <row r="57" spans="1:23" s="51" customFormat="1" ht="15" customHeight="1" x14ac:dyDescent="0.25">
      <c r="A57" s="183"/>
      <c r="B57" s="184" t="s">
        <v>157</v>
      </c>
      <c r="C57" s="183"/>
      <c r="D57" s="214" t="s">
        <v>156</v>
      </c>
      <c r="E57" s="217"/>
      <c r="F57" s="54">
        <v>0.08</v>
      </c>
      <c r="G57" s="47">
        <f t="shared" si="0"/>
        <v>0</v>
      </c>
      <c r="H57" s="686">
        <f>(IF(G57="","",G57*I5))</f>
        <v>0</v>
      </c>
      <c r="I57" s="687"/>
      <c r="J57" s="63">
        <f t="shared" ref="J57:J62" si="40">IF(H57&lt;1,0,T57)</f>
        <v>0</v>
      </c>
      <c r="K57" s="62">
        <f t="shared" si="2"/>
        <v>0</v>
      </c>
      <c r="L57" s="185">
        <v>8.75</v>
      </c>
      <c r="M57" s="56">
        <f t="shared" si="20"/>
        <v>0</v>
      </c>
      <c r="N57" s="688">
        <f>IF(M57="","",M57/100*O9+M57)</f>
        <v>0</v>
      </c>
      <c r="O57" s="689"/>
      <c r="P57" s="58">
        <f t="shared" ref="P57:P62" si="41">IF(N57&lt;1,0,U57)</f>
        <v>0</v>
      </c>
      <c r="Q57" s="66">
        <f t="shared" ref="Q57:Q62" si="42">IF(P57="","",E57*P57)</f>
        <v>0</v>
      </c>
      <c r="R57" s="68">
        <f t="shared" si="28"/>
        <v>0</v>
      </c>
      <c r="S57" s="66">
        <f t="shared" si="29"/>
        <v>0</v>
      </c>
      <c r="T57" s="51" t="e">
        <f t="shared" ref="T57:T62" si="43">IF(H57="","",H57/E57)</f>
        <v>#DIV/0!</v>
      </c>
      <c r="U57" s="51" t="e">
        <f t="shared" ref="U57:U62" si="44">IF(N57="","",N57/E57)</f>
        <v>#DIV/0!</v>
      </c>
    </row>
    <row r="58" spans="1:23" s="51" customFormat="1" ht="15" customHeight="1" x14ac:dyDescent="0.25">
      <c r="A58" s="175"/>
      <c r="B58" s="176" t="s">
        <v>140</v>
      </c>
      <c r="C58" s="175"/>
      <c r="D58" s="181" t="s">
        <v>141</v>
      </c>
      <c r="E58" s="217"/>
      <c r="F58" s="54">
        <v>5</v>
      </c>
      <c r="G58" s="47">
        <f>(IF(F58="","",E58*F58))</f>
        <v>0</v>
      </c>
      <c r="H58" s="686">
        <f>(IF(G58="","",G58*I5))</f>
        <v>0</v>
      </c>
      <c r="I58" s="687"/>
      <c r="J58" s="63">
        <f>IF(H58&lt;1,0,T58)</f>
        <v>0</v>
      </c>
      <c r="K58" s="62">
        <f>IF(J58="","",E58*J58)</f>
        <v>0</v>
      </c>
      <c r="L58" s="55">
        <v>471</v>
      </c>
      <c r="M58" s="56">
        <f>IF(L58="","",E58*L58)</f>
        <v>0</v>
      </c>
      <c r="N58" s="688">
        <f>IF(M58="","",M58/100*O2+M58)</f>
        <v>0</v>
      </c>
      <c r="O58" s="689"/>
      <c r="P58" s="58">
        <f>IF(N58&lt;1,0,U58)</f>
        <v>0</v>
      </c>
      <c r="Q58" s="66">
        <f>IF(P58="","",E58*P58)</f>
        <v>0</v>
      </c>
      <c r="R58" s="68">
        <f>IF(J58="","",J58+P58)</f>
        <v>0</v>
      </c>
      <c r="S58" s="66">
        <f>IF(R58="","",E58*R58)</f>
        <v>0</v>
      </c>
      <c r="T58" s="51" t="e">
        <f>IF(H58="","",H58/E58)</f>
        <v>#DIV/0!</v>
      </c>
      <c r="U58" s="51" t="e">
        <f>IF(N58="","",N58/E58)</f>
        <v>#DIV/0!</v>
      </c>
    </row>
    <row r="59" spans="1:23" s="51" customFormat="1" ht="15" customHeight="1" x14ac:dyDescent="0.25">
      <c r="A59" s="175"/>
      <c r="B59" s="176" t="s">
        <v>140</v>
      </c>
      <c r="C59" s="175"/>
      <c r="D59" s="181" t="s">
        <v>142</v>
      </c>
      <c r="E59" s="217"/>
      <c r="F59" s="54">
        <v>7</v>
      </c>
      <c r="G59" s="47">
        <f>(IF(F59="","",E59*F59))</f>
        <v>0</v>
      </c>
      <c r="H59" s="686">
        <f>(IF(G59="","",G59*I5))</f>
        <v>0</v>
      </c>
      <c r="I59" s="687"/>
      <c r="J59" s="63">
        <f>IF(H59&lt;1,0,T59)</f>
        <v>0</v>
      </c>
      <c r="K59" s="62">
        <f>IF(J59="","",E59*J59)</f>
        <v>0</v>
      </c>
      <c r="L59" s="55">
        <v>471</v>
      </c>
      <c r="M59" s="56">
        <f>IF(L59="","",E59*L59)</f>
        <v>0</v>
      </c>
      <c r="N59" s="688">
        <f>IF(M59="","",M59/100*O3+M59)</f>
        <v>0</v>
      </c>
      <c r="O59" s="689"/>
      <c r="P59" s="58">
        <f>IF(N59&lt;1,0,U59)</f>
        <v>0</v>
      </c>
      <c r="Q59" s="66">
        <f>IF(P59="","",E59*P59)</f>
        <v>0</v>
      </c>
      <c r="R59" s="68">
        <f>IF(J59="","",J59+P59)</f>
        <v>0</v>
      </c>
      <c r="S59" s="66">
        <f>IF(R59="","",E59*R59)</f>
        <v>0</v>
      </c>
      <c r="T59" s="51" t="e">
        <f>IF(H59="","",H59/E59)</f>
        <v>#DIV/0!</v>
      </c>
      <c r="U59" s="51" t="e">
        <f>IF(N59="","",N59/E59)</f>
        <v>#DIV/0!</v>
      </c>
    </row>
    <row r="60" spans="1:23" s="51" customFormat="1" ht="15" customHeight="1" x14ac:dyDescent="0.25">
      <c r="A60" s="175"/>
      <c r="B60" s="176" t="s">
        <v>140</v>
      </c>
      <c r="C60" s="175"/>
      <c r="D60" s="216" t="s">
        <v>143</v>
      </c>
      <c r="E60" s="217"/>
      <c r="F60" s="54"/>
      <c r="G60" s="47" t="str">
        <f>(IF(F60="","",E60*F60))</f>
        <v/>
      </c>
      <c r="H60" s="686" t="str">
        <f>(IF(G60="","",G60*I5))</f>
        <v/>
      </c>
      <c r="I60" s="687"/>
      <c r="J60" s="63" t="str">
        <f>IF(H60&lt;1,0,T60)</f>
        <v/>
      </c>
      <c r="K60" s="62" t="str">
        <f>IF(J60="","",E60*J60)</f>
        <v/>
      </c>
      <c r="L60" s="55">
        <v>471</v>
      </c>
      <c r="M60" s="56">
        <f>IF(L60="","",E60*L60)</f>
        <v>0</v>
      </c>
      <c r="N60" s="688">
        <f>IF(M60="","",M60/100*O4+M60)</f>
        <v>0</v>
      </c>
      <c r="O60" s="689"/>
      <c r="P60" s="58">
        <f>IF(N60&lt;1,0,U60)</f>
        <v>0</v>
      </c>
      <c r="Q60" s="66">
        <f>IF(P60="","",E60*P60)</f>
        <v>0</v>
      </c>
      <c r="R60" s="68" t="str">
        <f>IF(J60="","",J60+P60)</f>
        <v/>
      </c>
      <c r="S60" s="66" t="str">
        <f>IF(R60="","",E60*R60)</f>
        <v/>
      </c>
      <c r="T60" s="51" t="str">
        <f>IF(H60="","",H60/E60)</f>
        <v/>
      </c>
      <c r="U60" s="51" t="e">
        <f>IF(N60="","",N60/E60)</f>
        <v>#DIV/0!</v>
      </c>
    </row>
    <row r="61" spans="1:23" s="51" customFormat="1" ht="15" customHeight="1" x14ac:dyDescent="0.25">
      <c r="A61" s="69"/>
      <c r="B61" s="70" t="s">
        <v>114</v>
      </c>
      <c r="C61" s="69"/>
      <c r="D61" s="181" t="s">
        <v>132</v>
      </c>
      <c r="E61" s="217"/>
      <c r="F61" s="54">
        <v>0.08</v>
      </c>
      <c r="G61" s="47">
        <f t="shared" si="0"/>
        <v>0</v>
      </c>
      <c r="H61" s="686">
        <f>(IF(G61="","",G61*I5))</f>
        <v>0</v>
      </c>
      <c r="I61" s="687"/>
      <c r="J61" s="63">
        <f t="shared" si="40"/>
        <v>0</v>
      </c>
      <c r="K61" s="62">
        <f t="shared" si="2"/>
        <v>0</v>
      </c>
      <c r="L61" s="166">
        <v>1</v>
      </c>
      <c r="M61" s="56">
        <f t="shared" si="20"/>
        <v>0</v>
      </c>
      <c r="N61" s="688">
        <f>IF(M61="","",M61/100*O3+M61)</f>
        <v>0</v>
      </c>
      <c r="O61" s="689"/>
      <c r="P61" s="58">
        <f t="shared" si="41"/>
        <v>0</v>
      </c>
      <c r="Q61" s="66">
        <f t="shared" si="42"/>
        <v>0</v>
      </c>
      <c r="R61" s="68">
        <f t="shared" si="28"/>
        <v>0</v>
      </c>
      <c r="S61" s="66">
        <f t="shared" si="29"/>
        <v>0</v>
      </c>
      <c r="T61" s="51" t="e">
        <f t="shared" si="43"/>
        <v>#DIV/0!</v>
      </c>
      <c r="U61" s="51" t="e">
        <f t="shared" si="44"/>
        <v>#DIV/0!</v>
      </c>
    </row>
    <row r="62" spans="1:23" s="51" customFormat="1" ht="15" customHeight="1" x14ac:dyDescent="0.25">
      <c r="A62" s="69"/>
      <c r="B62" s="70" t="s">
        <v>114</v>
      </c>
      <c r="C62" s="69"/>
      <c r="D62" s="181" t="s">
        <v>133</v>
      </c>
      <c r="E62" s="217"/>
      <c r="F62" s="54">
        <v>0.08</v>
      </c>
      <c r="G62" s="47">
        <f t="shared" si="0"/>
        <v>0</v>
      </c>
      <c r="H62" s="686">
        <f>(IF(G62="","",G62*I5))</f>
        <v>0</v>
      </c>
      <c r="I62" s="687"/>
      <c r="J62" s="63">
        <f t="shared" si="40"/>
        <v>0</v>
      </c>
      <c r="K62" s="62">
        <f t="shared" si="2"/>
        <v>0</v>
      </c>
      <c r="L62" s="166">
        <v>0.74</v>
      </c>
      <c r="M62" s="56">
        <f t="shared" si="20"/>
        <v>0</v>
      </c>
      <c r="N62" s="688">
        <f>IF(M62="","",M62/100*O5+M62)</f>
        <v>0</v>
      </c>
      <c r="O62" s="689"/>
      <c r="P62" s="58">
        <f t="shared" si="41"/>
        <v>0</v>
      </c>
      <c r="Q62" s="66">
        <f t="shared" si="42"/>
        <v>0</v>
      </c>
      <c r="R62" s="68">
        <f t="shared" si="28"/>
        <v>0</v>
      </c>
      <c r="S62" s="66">
        <f t="shared" si="29"/>
        <v>0</v>
      </c>
      <c r="T62" s="51" t="e">
        <f t="shared" si="43"/>
        <v>#DIV/0!</v>
      </c>
      <c r="U62" s="51" t="e">
        <f t="shared" si="44"/>
        <v>#DIV/0!</v>
      </c>
    </row>
    <row r="63" spans="1:23" s="51" customFormat="1" ht="15" customHeight="1" x14ac:dyDescent="0.25">
      <c r="A63" s="183"/>
      <c r="B63" s="184" t="s">
        <v>157</v>
      </c>
      <c r="C63" s="183"/>
      <c r="D63" s="181" t="s">
        <v>49</v>
      </c>
      <c r="E63" s="217"/>
      <c r="F63" s="54"/>
      <c r="G63" s="47" t="str">
        <f t="shared" si="0"/>
        <v/>
      </c>
      <c r="H63" s="692" t="str">
        <f>(IF(G63="","",G63*I5))</f>
        <v/>
      </c>
      <c r="I63" s="711"/>
      <c r="J63" s="63" t="str">
        <f t="shared" si="1"/>
        <v/>
      </c>
      <c r="K63" s="62" t="str">
        <f t="shared" si="2"/>
        <v/>
      </c>
      <c r="L63" s="185">
        <v>33</v>
      </c>
      <c r="M63" s="56">
        <f t="shared" si="20"/>
        <v>0</v>
      </c>
      <c r="N63" s="688">
        <f>IF(M63="","",M63/100*O5+M63)</f>
        <v>0</v>
      </c>
      <c r="O63" s="689"/>
      <c r="P63" s="58">
        <f t="shared" si="14"/>
        <v>0</v>
      </c>
      <c r="Q63" s="66">
        <f t="shared" si="27"/>
        <v>0</v>
      </c>
      <c r="R63" s="68" t="str">
        <f t="shared" si="28"/>
        <v/>
      </c>
      <c r="S63" s="66" t="str">
        <f t="shared" si="29"/>
        <v/>
      </c>
      <c r="T63" s="51" t="str">
        <f t="shared" si="5"/>
        <v/>
      </c>
      <c r="U63" s="51" t="e">
        <f t="shared" si="15"/>
        <v>#DIV/0!</v>
      </c>
    </row>
    <row r="64" spans="1:23" s="51" customFormat="1" ht="15" customHeight="1" x14ac:dyDescent="0.25">
      <c r="A64" s="183"/>
      <c r="B64" s="184" t="s">
        <v>157</v>
      </c>
      <c r="C64" s="183"/>
      <c r="D64" s="181" t="s">
        <v>50</v>
      </c>
      <c r="E64" s="217"/>
      <c r="F64" s="54">
        <v>0.2</v>
      </c>
      <c r="G64" s="47">
        <f t="shared" si="0"/>
        <v>0</v>
      </c>
      <c r="H64" s="686">
        <f>(IF(G64="","",G64*I5))</f>
        <v>0</v>
      </c>
      <c r="I64" s="687"/>
      <c r="J64" s="63">
        <f t="shared" si="1"/>
        <v>0</v>
      </c>
      <c r="K64" s="62">
        <f t="shared" si="2"/>
        <v>0</v>
      </c>
      <c r="L64" s="185">
        <v>23.92</v>
      </c>
      <c r="M64" s="56">
        <f t="shared" si="20"/>
        <v>0</v>
      </c>
      <c r="N64" s="688">
        <f>IF(M64="","",M64/100*O12+M64)</f>
        <v>0</v>
      </c>
      <c r="O64" s="689"/>
      <c r="P64" s="58">
        <f t="shared" si="14"/>
        <v>0</v>
      </c>
      <c r="Q64" s="66">
        <f t="shared" si="27"/>
        <v>0</v>
      </c>
      <c r="R64" s="68">
        <f t="shared" si="28"/>
        <v>0</v>
      </c>
      <c r="S64" s="66">
        <f t="shared" si="29"/>
        <v>0</v>
      </c>
      <c r="T64" s="51" t="e">
        <f t="shared" si="5"/>
        <v>#DIV/0!</v>
      </c>
      <c r="U64" s="51" t="e">
        <f t="shared" si="15"/>
        <v>#DIV/0!</v>
      </c>
    </row>
    <row r="65" spans="1:21" s="51" customFormat="1" ht="15" customHeight="1" x14ac:dyDescent="0.25">
      <c r="A65" s="69"/>
      <c r="B65" s="70" t="s">
        <v>114</v>
      </c>
      <c r="C65" s="69"/>
      <c r="D65" s="52" t="s">
        <v>38</v>
      </c>
      <c r="E65" s="217"/>
      <c r="F65" s="54"/>
      <c r="G65" s="57" t="str">
        <f t="shared" si="0"/>
        <v/>
      </c>
      <c r="H65" s="692" t="str">
        <f>(IF(G65="","",G65*I5))</f>
        <v/>
      </c>
      <c r="I65" s="711"/>
      <c r="J65" s="63" t="str">
        <f t="shared" si="1"/>
        <v/>
      </c>
      <c r="K65" s="50" t="str">
        <f t="shared" si="2"/>
        <v/>
      </c>
      <c r="L65" s="55">
        <v>0.5</v>
      </c>
      <c r="M65" s="56">
        <f t="shared" si="20"/>
        <v>0</v>
      </c>
      <c r="N65" s="688">
        <f>IF(M65="","",M65/100*O5+M65)</f>
        <v>0</v>
      </c>
      <c r="O65" s="689"/>
      <c r="P65" s="58">
        <f t="shared" si="14"/>
        <v>0</v>
      </c>
      <c r="Q65" s="66">
        <f t="shared" si="27"/>
        <v>0</v>
      </c>
      <c r="R65" s="68" t="str">
        <f t="shared" si="28"/>
        <v/>
      </c>
      <c r="S65" s="66" t="str">
        <f t="shared" si="29"/>
        <v/>
      </c>
      <c r="T65" s="51" t="str">
        <f t="shared" si="5"/>
        <v/>
      </c>
      <c r="U65" s="51" t="e">
        <f t="shared" si="15"/>
        <v>#DIV/0!</v>
      </c>
    </row>
    <row r="66" spans="1:21" s="51" customFormat="1" ht="15" customHeight="1" x14ac:dyDescent="0.25">
      <c r="A66" s="69"/>
      <c r="B66" s="70" t="s">
        <v>114</v>
      </c>
      <c r="C66" s="69"/>
      <c r="D66" s="74" t="s">
        <v>113</v>
      </c>
      <c r="E66" s="217"/>
      <c r="F66" s="54">
        <v>0.09</v>
      </c>
      <c r="G66" s="47">
        <f t="shared" si="0"/>
        <v>0</v>
      </c>
      <c r="H66" s="686">
        <f>(IF(G66="","",G66*I5))</f>
        <v>0</v>
      </c>
      <c r="I66" s="687"/>
      <c r="J66" s="63">
        <f t="shared" si="1"/>
        <v>0</v>
      </c>
      <c r="K66" s="62">
        <f t="shared" si="2"/>
        <v>0</v>
      </c>
      <c r="L66" s="55">
        <v>1.6</v>
      </c>
      <c r="M66" s="56">
        <f t="shared" si="20"/>
        <v>0</v>
      </c>
      <c r="N66" s="688">
        <f>IF(M66="","",M66/100*O5+M66)</f>
        <v>0</v>
      </c>
      <c r="O66" s="689"/>
      <c r="P66" s="58">
        <f t="shared" si="14"/>
        <v>0</v>
      </c>
      <c r="Q66" s="66">
        <f t="shared" si="27"/>
        <v>0</v>
      </c>
      <c r="R66" s="68">
        <f t="shared" si="28"/>
        <v>0</v>
      </c>
      <c r="S66" s="66">
        <f t="shared" si="29"/>
        <v>0</v>
      </c>
      <c r="T66" s="51" t="e">
        <f t="shared" si="5"/>
        <v>#DIV/0!</v>
      </c>
      <c r="U66" s="51" t="e">
        <f t="shared" si="15"/>
        <v>#DIV/0!</v>
      </c>
    </row>
    <row r="67" spans="1:21" s="51" customFormat="1" ht="15" customHeight="1" x14ac:dyDescent="0.25">
      <c r="A67" s="69"/>
      <c r="B67" s="70" t="s">
        <v>114</v>
      </c>
      <c r="C67" s="69"/>
      <c r="D67" s="74" t="s">
        <v>62</v>
      </c>
      <c r="E67" s="217"/>
      <c r="F67" s="54"/>
      <c r="G67" s="47" t="str">
        <f t="shared" si="0"/>
        <v/>
      </c>
      <c r="H67" s="686" t="str">
        <f>(IF(G67="","",G67*I5))</f>
        <v/>
      </c>
      <c r="I67" s="687"/>
      <c r="J67" s="63" t="str">
        <f t="shared" si="1"/>
        <v/>
      </c>
      <c r="K67" s="62" t="str">
        <f t="shared" si="2"/>
        <v/>
      </c>
      <c r="L67" s="166">
        <v>1</v>
      </c>
      <c r="M67" s="56">
        <f t="shared" si="20"/>
        <v>0</v>
      </c>
      <c r="N67" s="688">
        <f>IF(M67="","",M67/100*O5+M67)</f>
        <v>0</v>
      </c>
      <c r="O67" s="689"/>
      <c r="P67" s="58">
        <f t="shared" si="14"/>
        <v>0</v>
      </c>
      <c r="Q67" s="66">
        <f t="shared" si="27"/>
        <v>0</v>
      </c>
      <c r="R67" s="68" t="str">
        <f t="shared" si="28"/>
        <v/>
      </c>
      <c r="S67" s="66" t="str">
        <f t="shared" si="29"/>
        <v/>
      </c>
      <c r="T67" s="51" t="str">
        <f t="shared" si="5"/>
        <v/>
      </c>
      <c r="U67" s="51" t="e">
        <f t="shared" si="15"/>
        <v>#DIV/0!</v>
      </c>
    </row>
    <row r="68" spans="1:21" s="51" customFormat="1" ht="15" customHeight="1" x14ac:dyDescent="0.25">
      <c r="A68" s="69"/>
      <c r="B68" s="70" t="s">
        <v>114</v>
      </c>
      <c r="C68" s="69"/>
      <c r="D68" s="74" t="s">
        <v>63</v>
      </c>
      <c r="E68" s="217"/>
      <c r="F68" s="54"/>
      <c r="G68" s="47" t="str">
        <f t="shared" si="0"/>
        <v/>
      </c>
      <c r="H68" s="686" t="str">
        <f>(IF(G68="","",G68*I5))</f>
        <v/>
      </c>
      <c r="I68" s="687"/>
      <c r="J68" s="63" t="str">
        <f t="shared" si="1"/>
        <v/>
      </c>
      <c r="K68" s="62" t="str">
        <f t="shared" si="2"/>
        <v/>
      </c>
      <c r="L68" s="166">
        <v>0.86</v>
      </c>
      <c r="M68" s="56">
        <f t="shared" si="20"/>
        <v>0</v>
      </c>
      <c r="N68" s="688">
        <f>IF(M68="","",M68/100*O5+M68)</f>
        <v>0</v>
      </c>
      <c r="O68" s="689"/>
      <c r="P68" s="58">
        <f t="shared" si="14"/>
        <v>0</v>
      </c>
      <c r="Q68" s="66">
        <f t="shared" si="27"/>
        <v>0</v>
      </c>
      <c r="R68" s="68" t="str">
        <f t="shared" si="28"/>
        <v/>
      </c>
      <c r="S68" s="66" t="str">
        <f t="shared" si="29"/>
        <v/>
      </c>
      <c r="T68" s="51" t="str">
        <f t="shared" si="5"/>
        <v/>
      </c>
      <c r="U68" s="51" t="e">
        <f t="shared" si="15"/>
        <v>#DIV/0!</v>
      </c>
    </row>
    <row r="69" spans="1:21" s="51" customFormat="1" ht="15" customHeight="1" x14ac:dyDescent="0.25">
      <c r="A69" s="69"/>
      <c r="B69" s="70" t="s">
        <v>114</v>
      </c>
      <c r="C69" s="69"/>
      <c r="D69" s="74" t="s">
        <v>116</v>
      </c>
      <c r="E69" s="217"/>
      <c r="F69" s="54">
        <v>0.2</v>
      </c>
      <c r="G69" s="47">
        <f t="shared" si="0"/>
        <v>0</v>
      </c>
      <c r="H69" s="686">
        <f>(IF(G69="","",G69*I5))</f>
        <v>0</v>
      </c>
      <c r="I69" s="687"/>
      <c r="J69" s="63">
        <f t="shared" si="1"/>
        <v>0</v>
      </c>
      <c r="K69" s="62">
        <f t="shared" si="2"/>
        <v>0</v>
      </c>
      <c r="L69" s="55">
        <v>1.52</v>
      </c>
      <c r="M69" s="56">
        <f t="shared" si="20"/>
        <v>0</v>
      </c>
      <c r="N69" s="688">
        <f>IF(M69="","",M69/100*O5+M69)</f>
        <v>0</v>
      </c>
      <c r="O69" s="689"/>
      <c r="P69" s="58">
        <f t="shared" si="14"/>
        <v>0</v>
      </c>
      <c r="Q69" s="66">
        <f t="shared" si="27"/>
        <v>0</v>
      </c>
      <c r="R69" s="68">
        <f t="shared" si="28"/>
        <v>0</v>
      </c>
      <c r="S69" s="66">
        <f t="shared" si="29"/>
        <v>0</v>
      </c>
      <c r="T69" s="51" t="e">
        <f t="shared" si="5"/>
        <v>#DIV/0!</v>
      </c>
      <c r="U69" s="51" t="e">
        <f t="shared" si="15"/>
        <v>#DIV/0!</v>
      </c>
    </row>
    <row r="70" spans="1:21" s="51" customFormat="1" ht="15" customHeight="1" x14ac:dyDescent="0.25">
      <c r="A70" s="69"/>
      <c r="B70" s="70" t="s">
        <v>114</v>
      </c>
      <c r="C70" s="69"/>
      <c r="D70" s="74" t="s">
        <v>117</v>
      </c>
      <c r="E70" s="217"/>
      <c r="F70" s="54">
        <v>0.2</v>
      </c>
      <c r="G70" s="47">
        <f t="shared" si="0"/>
        <v>0</v>
      </c>
      <c r="H70" s="686">
        <f>(IF(G70="","",G70*I5))</f>
        <v>0</v>
      </c>
      <c r="I70" s="687"/>
      <c r="J70" s="63">
        <f t="shared" si="1"/>
        <v>0</v>
      </c>
      <c r="K70" s="62">
        <f t="shared" si="2"/>
        <v>0</v>
      </c>
      <c r="L70" s="55">
        <v>2.65</v>
      </c>
      <c r="M70" s="56">
        <f t="shared" si="20"/>
        <v>0</v>
      </c>
      <c r="N70" s="688">
        <f>IF(M70="","",M70/100*O6+M70)</f>
        <v>0</v>
      </c>
      <c r="O70" s="689"/>
      <c r="P70" s="58">
        <f t="shared" si="14"/>
        <v>0</v>
      </c>
      <c r="Q70" s="66">
        <f t="shared" si="27"/>
        <v>0</v>
      </c>
      <c r="R70" s="68">
        <f t="shared" si="28"/>
        <v>0</v>
      </c>
      <c r="S70" s="66">
        <f t="shared" si="29"/>
        <v>0</v>
      </c>
      <c r="T70" s="51" t="e">
        <f t="shared" si="5"/>
        <v>#DIV/0!</v>
      </c>
      <c r="U70" s="51" t="e">
        <f t="shared" si="15"/>
        <v>#DIV/0!</v>
      </c>
    </row>
    <row r="71" spans="1:21" s="51" customFormat="1" ht="15" customHeight="1" x14ac:dyDescent="0.25">
      <c r="A71" s="69"/>
      <c r="B71" s="70" t="s">
        <v>114</v>
      </c>
      <c r="C71" s="69"/>
      <c r="D71" s="74" t="s">
        <v>78</v>
      </c>
      <c r="E71" s="217"/>
      <c r="F71" s="54"/>
      <c r="G71" s="47" t="str">
        <f t="shared" si="0"/>
        <v/>
      </c>
      <c r="H71" s="686" t="str">
        <f>(IF(G71="","",G71*I5))</f>
        <v/>
      </c>
      <c r="I71" s="687"/>
      <c r="J71" s="63" t="str">
        <f t="shared" si="1"/>
        <v/>
      </c>
      <c r="K71" s="62" t="str">
        <f t="shared" si="2"/>
        <v/>
      </c>
      <c r="L71" s="55">
        <v>2.08</v>
      </c>
      <c r="M71" s="56">
        <f t="shared" si="20"/>
        <v>0</v>
      </c>
      <c r="N71" s="688">
        <f>IF(M71="","",M71/100*O7+M71)</f>
        <v>0</v>
      </c>
      <c r="O71" s="689"/>
      <c r="P71" s="58">
        <f t="shared" si="14"/>
        <v>0</v>
      </c>
      <c r="Q71" s="66">
        <f t="shared" si="27"/>
        <v>0</v>
      </c>
      <c r="R71" s="68" t="str">
        <f t="shared" si="28"/>
        <v/>
      </c>
      <c r="S71" s="66" t="str">
        <f t="shared" si="29"/>
        <v/>
      </c>
      <c r="T71" s="51" t="str">
        <f t="shared" si="5"/>
        <v/>
      </c>
      <c r="U71" s="51" t="e">
        <f t="shared" si="15"/>
        <v>#DIV/0!</v>
      </c>
    </row>
    <row r="72" spans="1:21" s="51" customFormat="1" ht="15" customHeight="1" x14ac:dyDescent="0.25">
      <c r="A72" s="69"/>
      <c r="B72" s="70" t="s">
        <v>114</v>
      </c>
      <c r="C72" s="69"/>
      <c r="D72" s="74" t="s">
        <v>123</v>
      </c>
      <c r="E72" s="217"/>
      <c r="F72" s="54">
        <v>0.12</v>
      </c>
      <c r="G72" s="47">
        <f t="shared" si="0"/>
        <v>0</v>
      </c>
      <c r="H72" s="686">
        <f>(IF(G72="","",G72*I5))</f>
        <v>0</v>
      </c>
      <c r="I72" s="687"/>
      <c r="J72" s="63">
        <f t="shared" si="1"/>
        <v>0</v>
      </c>
      <c r="K72" s="62">
        <f t="shared" si="2"/>
        <v>0</v>
      </c>
      <c r="L72" s="166">
        <v>12.28</v>
      </c>
      <c r="M72" s="56">
        <f t="shared" si="20"/>
        <v>0</v>
      </c>
      <c r="N72" s="688">
        <f>IF(M72="","",M72/100*O7+M72)</f>
        <v>0</v>
      </c>
      <c r="O72" s="689"/>
      <c r="P72" s="58">
        <f t="shared" si="14"/>
        <v>0</v>
      </c>
      <c r="Q72" s="66">
        <f t="shared" si="27"/>
        <v>0</v>
      </c>
      <c r="R72" s="68">
        <f t="shared" si="28"/>
        <v>0</v>
      </c>
      <c r="S72" s="66">
        <f t="shared" si="29"/>
        <v>0</v>
      </c>
      <c r="T72" s="51" t="e">
        <f t="shared" si="5"/>
        <v>#DIV/0!</v>
      </c>
      <c r="U72" s="51" t="e">
        <f t="shared" si="15"/>
        <v>#DIV/0!</v>
      </c>
    </row>
    <row r="73" spans="1:21" s="51" customFormat="1" ht="15" customHeight="1" x14ac:dyDescent="0.25">
      <c r="A73" s="69"/>
      <c r="B73" s="70" t="s">
        <v>114</v>
      </c>
      <c r="C73" s="69"/>
      <c r="D73" s="74" t="s">
        <v>124</v>
      </c>
      <c r="E73" s="217"/>
      <c r="F73" s="54">
        <v>0.12</v>
      </c>
      <c r="G73" s="47">
        <f t="shared" si="0"/>
        <v>0</v>
      </c>
      <c r="H73" s="686">
        <f>(IF(G73="","",G73*I5))</f>
        <v>0</v>
      </c>
      <c r="I73" s="687"/>
      <c r="J73" s="63">
        <f t="shared" si="1"/>
        <v>0</v>
      </c>
      <c r="K73" s="62">
        <f t="shared" si="2"/>
        <v>0</v>
      </c>
      <c r="L73" s="166">
        <v>15.25</v>
      </c>
      <c r="M73" s="56">
        <f t="shared" si="20"/>
        <v>0</v>
      </c>
      <c r="N73" s="688">
        <f>IF(M73="","",M73/100*O8+M73)</f>
        <v>0</v>
      </c>
      <c r="O73" s="689"/>
      <c r="P73" s="58">
        <f t="shared" si="14"/>
        <v>0</v>
      </c>
      <c r="Q73" s="66">
        <f t="shared" si="27"/>
        <v>0</v>
      </c>
      <c r="R73" s="68">
        <f t="shared" si="28"/>
        <v>0</v>
      </c>
      <c r="S73" s="66">
        <f t="shared" si="29"/>
        <v>0</v>
      </c>
      <c r="T73" s="51" t="e">
        <f t="shared" si="5"/>
        <v>#DIV/0!</v>
      </c>
      <c r="U73" s="51" t="e">
        <f t="shared" si="15"/>
        <v>#DIV/0!</v>
      </c>
    </row>
    <row r="74" spans="1:21" s="51" customFormat="1" ht="15" customHeight="1" x14ac:dyDescent="0.25">
      <c r="A74" s="69"/>
      <c r="B74" s="70" t="s">
        <v>114</v>
      </c>
      <c r="C74" s="69"/>
      <c r="D74" s="74" t="s">
        <v>77</v>
      </c>
      <c r="E74" s="217"/>
      <c r="F74" s="54">
        <v>0.12</v>
      </c>
      <c r="G74" s="47">
        <f t="shared" si="0"/>
        <v>0</v>
      </c>
      <c r="H74" s="686">
        <f>(IF(G74="","",G74*I5))</f>
        <v>0</v>
      </c>
      <c r="I74" s="687"/>
      <c r="J74" s="63">
        <f t="shared" si="1"/>
        <v>0</v>
      </c>
      <c r="K74" s="62">
        <f t="shared" si="2"/>
        <v>0</v>
      </c>
      <c r="L74" s="166">
        <v>53</v>
      </c>
      <c r="M74" s="56">
        <f t="shared" si="20"/>
        <v>0</v>
      </c>
      <c r="N74" s="688">
        <f>IF(M74="","",M74/100*6+M74)</f>
        <v>0</v>
      </c>
      <c r="O74" s="689"/>
      <c r="P74" s="58">
        <f t="shared" si="14"/>
        <v>0</v>
      </c>
      <c r="Q74" s="66">
        <f t="shared" si="27"/>
        <v>0</v>
      </c>
      <c r="R74" s="68">
        <f t="shared" si="28"/>
        <v>0</v>
      </c>
      <c r="S74" s="66">
        <f t="shared" si="29"/>
        <v>0</v>
      </c>
      <c r="T74" s="51" t="e">
        <f t="shared" si="5"/>
        <v>#DIV/0!</v>
      </c>
      <c r="U74" s="51" t="e">
        <f t="shared" si="15"/>
        <v>#DIV/0!</v>
      </c>
    </row>
    <row r="75" spans="1:21" s="51" customFormat="1" ht="15" customHeight="1" x14ac:dyDescent="0.25">
      <c r="A75" s="70"/>
      <c r="B75" s="70" t="s">
        <v>114</v>
      </c>
      <c r="C75" s="70"/>
      <c r="D75" s="75" t="s">
        <v>112</v>
      </c>
      <c r="E75" s="217"/>
      <c r="F75" s="54">
        <v>0.1</v>
      </c>
      <c r="G75" s="85">
        <f t="shared" si="0"/>
        <v>0</v>
      </c>
      <c r="H75" s="712">
        <f>(IF(G75="","",G75*I5))</f>
        <v>0</v>
      </c>
      <c r="I75" s="713"/>
      <c r="J75" s="86">
        <f t="shared" si="1"/>
        <v>0</v>
      </c>
      <c r="K75" s="87">
        <f t="shared" si="2"/>
        <v>0</v>
      </c>
      <c r="L75" s="88">
        <v>4.66</v>
      </c>
      <c r="M75" s="86">
        <f t="shared" si="20"/>
        <v>0</v>
      </c>
      <c r="N75" s="714">
        <f>IF(M75="","",M75/100*O4+M75)</f>
        <v>0</v>
      </c>
      <c r="O75" s="715"/>
      <c r="P75" s="89">
        <f t="shared" si="14"/>
        <v>0</v>
      </c>
      <c r="Q75" s="90">
        <f t="shared" si="27"/>
        <v>0</v>
      </c>
      <c r="R75" s="91">
        <f t="shared" si="28"/>
        <v>0</v>
      </c>
      <c r="S75" s="90">
        <f t="shared" si="29"/>
        <v>0</v>
      </c>
      <c r="T75" s="51" t="e">
        <f t="shared" si="5"/>
        <v>#DIV/0!</v>
      </c>
      <c r="U75" s="51" t="e">
        <f t="shared" si="15"/>
        <v>#DIV/0!</v>
      </c>
    </row>
    <row r="76" spans="1:21" s="51" customFormat="1" ht="15" customHeight="1" x14ac:dyDescent="0.25">
      <c r="A76" s="70"/>
      <c r="B76" s="70" t="s">
        <v>114</v>
      </c>
      <c r="C76" s="70"/>
      <c r="D76" s="76" t="s">
        <v>73</v>
      </c>
      <c r="E76" s="217"/>
      <c r="F76" s="54"/>
      <c r="G76" s="85" t="str">
        <f t="shared" si="0"/>
        <v/>
      </c>
      <c r="H76" s="712" t="str">
        <f>(IF(G76="","",G76*I5))</f>
        <v/>
      </c>
      <c r="I76" s="713"/>
      <c r="J76" s="86" t="str">
        <f t="shared" si="1"/>
        <v/>
      </c>
      <c r="K76" s="87" t="str">
        <f t="shared" si="2"/>
        <v/>
      </c>
      <c r="L76" s="88">
        <v>0.28000000000000003</v>
      </c>
      <c r="M76" s="86">
        <f t="shared" si="20"/>
        <v>0</v>
      </c>
      <c r="N76" s="714">
        <f>IF(M76="","",M76/100*O4+M76)</f>
        <v>0</v>
      </c>
      <c r="O76" s="715"/>
      <c r="P76" s="89">
        <f t="shared" si="14"/>
        <v>0</v>
      </c>
      <c r="Q76" s="90">
        <f t="shared" si="27"/>
        <v>0</v>
      </c>
      <c r="R76" s="91" t="str">
        <f t="shared" si="28"/>
        <v/>
      </c>
      <c r="S76" s="90" t="str">
        <f t="shared" si="29"/>
        <v/>
      </c>
      <c r="T76" s="51" t="str">
        <f t="shared" si="5"/>
        <v/>
      </c>
      <c r="U76" s="51" t="e">
        <f t="shared" si="15"/>
        <v>#DIV/0!</v>
      </c>
    </row>
    <row r="77" spans="1:21" s="51" customFormat="1" ht="15" customHeight="1" x14ac:dyDescent="0.25">
      <c r="A77" s="70"/>
      <c r="B77" s="70" t="s">
        <v>114</v>
      </c>
      <c r="C77" s="70"/>
      <c r="D77" s="76" t="s">
        <v>74</v>
      </c>
      <c r="E77" s="217"/>
      <c r="F77" s="54"/>
      <c r="G77" s="85" t="str">
        <f t="shared" si="0"/>
        <v/>
      </c>
      <c r="H77" s="712" t="str">
        <f>(IF(G77="","",G77*I5))</f>
        <v/>
      </c>
      <c r="I77" s="713"/>
      <c r="J77" s="86" t="str">
        <f t="shared" si="1"/>
        <v/>
      </c>
      <c r="K77" s="87" t="str">
        <f t="shared" si="2"/>
        <v/>
      </c>
      <c r="L77" s="88">
        <v>0.68</v>
      </c>
      <c r="M77" s="86">
        <f t="shared" si="20"/>
        <v>0</v>
      </c>
      <c r="N77" s="714">
        <f>IF(M77="","",M77/100*O5+M77)</f>
        <v>0</v>
      </c>
      <c r="O77" s="715"/>
      <c r="P77" s="89">
        <f t="shared" si="14"/>
        <v>0</v>
      </c>
      <c r="Q77" s="90">
        <f t="shared" si="27"/>
        <v>0</v>
      </c>
      <c r="R77" s="91" t="str">
        <f t="shared" si="28"/>
        <v/>
      </c>
      <c r="S77" s="90" t="str">
        <f t="shared" si="29"/>
        <v/>
      </c>
      <c r="T77" s="51" t="str">
        <f t="shared" si="5"/>
        <v/>
      </c>
      <c r="U77" s="51" t="e">
        <f t="shared" si="15"/>
        <v>#DIV/0!</v>
      </c>
    </row>
    <row r="78" spans="1:21" s="51" customFormat="1" ht="15" customHeight="1" x14ac:dyDescent="0.25">
      <c r="A78" s="69"/>
      <c r="B78" s="103" t="s">
        <v>91</v>
      </c>
      <c r="C78" s="69"/>
      <c r="D78" s="111" t="s">
        <v>92</v>
      </c>
      <c r="E78" s="217"/>
      <c r="F78" s="54"/>
      <c r="G78" s="109" t="str">
        <f t="shared" si="0"/>
        <v/>
      </c>
      <c r="H78" s="716" t="str">
        <f>(IF(G78="","",G78*I5))</f>
        <v/>
      </c>
      <c r="I78" s="717"/>
      <c r="J78" s="105" t="str">
        <f t="shared" si="1"/>
        <v/>
      </c>
      <c r="K78" s="110" t="str">
        <f t="shared" si="2"/>
        <v/>
      </c>
      <c r="L78" s="55">
        <v>0.83</v>
      </c>
      <c r="M78" s="105">
        <f t="shared" si="20"/>
        <v>0</v>
      </c>
      <c r="N78" s="718">
        <f>IF(M78="","",M78/100*O18+M78)</f>
        <v>0</v>
      </c>
      <c r="O78" s="719"/>
      <c r="P78" s="106">
        <f t="shared" si="14"/>
        <v>0</v>
      </c>
      <c r="Q78" s="107">
        <f t="shared" si="27"/>
        <v>0</v>
      </c>
      <c r="R78" s="108" t="str">
        <f t="shared" si="28"/>
        <v/>
      </c>
      <c r="S78" s="107" t="str">
        <f t="shared" si="29"/>
        <v/>
      </c>
      <c r="T78" s="51" t="str">
        <f t="shared" si="5"/>
        <v/>
      </c>
      <c r="U78" s="51" t="e">
        <f t="shared" si="15"/>
        <v>#DIV/0!</v>
      </c>
    </row>
    <row r="79" spans="1:21" s="51" customFormat="1" ht="15" customHeight="1" x14ac:dyDescent="0.25">
      <c r="A79" s="52"/>
      <c r="B79" s="52"/>
      <c r="C79" s="52"/>
      <c r="D79" s="74" t="s">
        <v>85</v>
      </c>
      <c r="E79" s="217"/>
      <c r="F79" s="54"/>
      <c r="G79" s="47" t="str">
        <f t="shared" si="0"/>
        <v/>
      </c>
      <c r="H79" s="686" t="str">
        <f>(IF(G79="","",G79*I5))</f>
        <v/>
      </c>
      <c r="I79" s="687"/>
      <c r="J79" s="63" t="str">
        <f t="shared" si="1"/>
        <v/>
      </c>
      <c r="K79" s="62" t="str">
        <f t="shared" si="2"/>
        <v/>
      </c>
      <c r="L79" s="55">
        <v>66</v>
      </c>
      <c r="M79" s="56">
        <f t="shared" si="20"/>
        <v>0</v>
      </c>
      <c r="N79" s="688">
        <f>IF(M79="","",M79/100*O5+M79)</f>
        <v>0</v>
      </c>
      <c r="O79" s="689"/>
      <c r="P79" s="58">
        <f t="shared" si="14"/>
        <v>0</v>
      </c>
      <c r="Q79" s="66">
        <f t="shared" si="27"/>
        <v>0</v>
      </c>
      <c r="R79" s="68" t="str">
        <f t="shared" si="28"/>
        <v/>
      </c>
      <c r="S79" s="66" t="str">
        <f t="shared" si="29"/>
        <v/>
      </c>
      <c r="T79" s="51" t="str">
        <f t="shared" si="5"/>
        <v/>
      </c>
      <c r="U79" s="51" t="e">
        <f t="shared" si="15"/>
        <v>#DIV/0!</v>
      </c>
    </row>
    <row r="80" spans="1:21" s="51" customFormat="1" ht="15" customHeight="1" x14ac:dyDescent="0.25">
      <c r="A80" s="69"/>
      <c r="B80" s="70" t="s">
        <v>114</v>
      </c>
      <c r="C80" s="69"/>
      <c r="D80" s="92" t="s">
        <v>111</v>
      </c>
      <c r="E80" s="217"/>
      <c r="F80" s="54">
        <v>0.1</v>
      </c>
      <c r="G80" s="78">
        <f t="shared" si="0"/>
        <v>0</v>
      </c>
      <c r="H80" s="720">
        <f>(IF(G80="","",G80*I5))</f>
        <v>0</v>
      </c>
      <c r="I80" s="721"/>
      <c r="J80" s="79">
        <f t="shared" si="1"/>
        <v>0</v>
      </c>
      <c r="K80" s="80">
        <f t="shared" si="2"/>
        <v>0</v>
      </c>
      <c r="L80" s="104">
        <v>3.08</v>
      </c>
      <c r="M80" s="79">
        <f t="shared" si="20"/>
        <v>0</v>
      </c>
      <c r="N80" s="722">
        <f>IF(M80="","",M80/100*O7+M80)</f>
        <v>0</v>
      </c>
      <c r="O80" s="723"/>
      <c r="P80" s="82">
        <f t="shared" si="14"/>
        <v>0</v>
      </c>
      <c r="Q80" s="83">
        <f t="shared" si="27"/>
        <v>0</v>
      </c>
      <c r="R80" s="84">
        <f t="shared" si="28"/>
        <v>0</v>
      </c>
      <c r="S80" s="83">
        <f t="shared" si="29"/>
        <v>0</v>
      </c>
      <c r="T80" s="51" t="e">
        <f t="shared" si="5"/>
        <v>#DIV/0!</v>
      </c>
      <c r="U80" s="51" t="e">
        <f t="shared" si="15"/>
        <v>#DIV/0!</v>
      </c>
    </row>
    <row r="81" spans="1:21" s="51" customFormat="1" ht="15" customHeight="1" x14ac:dyDescent="0.25">
      <c r="A81" s="69"/>
      <c r="B81" s="70" t="s">
        <v>114</v>
      </c>
      <c r="C81" s="69"/>
      <c r="D81" s="77" t="s">
        <v>75</v>
      </c>
      <c r="E81" s="217"/>
      <c r="F81" s="54">
        <v>0.1</v>
      </c>
      <c r="G81" s="78">
        <f t="shared" si="0"/>
        <v>0</v>
      </c>
      <c r="H81" s="720">
        <f>(IF(G81="","",G81*I5))</f>
        <v>0</v>
      </c>
      <c r="I81" s="721"/>
      <c r="J81" s="79">
        <f t="shared" si="1"/>
        <v>0</v>
      </c>
      <c r="K81" s="80">
        <f t="shared" si="2"/>
        <v>0</v>
      </c>
      <c r="L81" s="81">
        <v>0.33</v>
      </c>
      <c r="M81" s="79">
        <f t="shared" si="20"/>
        <v>0</v>
      </c>
      <c r="N81" s="722">
        <f>IF(M81="","",M81/100*O5+M81)</f>
        <v>0</v>
      </c>
      <c r="O81" s="723"/>
      <c r="P81" s="82">
        <f t="shared" si="14"/>
        <v>0</v>
      </c>
      <c r="Q81" s="83">
        <f t="shared" si="27"/>
        <v>0</v>
      </c>
      <c r="R81" s="84">
        <f t="shared" si="28"/>
        <v>0</v>
      </c>
      <c r="S81" s="83">
        <f t="shared" si="29"/>
        <v>0</v>
      </c>
      <c r="T81" s="51" t="e">
        <f t="shared" si="5"/>
        <v>#DIV/0!</v>
      </c>
      <c r="U81" s="51" t="e">
        <f t="shared" si="15"/>
        <v>#DIV/0!</v>
      </c>
    </row>
    <row r="82" spans="1:21" s="51" customFormat="1" ht="15" customHeight="1" x14ac:dyDescent="0.25">
      <c r="A82" s="69"/>
      <c r="B82" s="70" t="s">
        <v>114</v>
      </c>
      <c r="C82" s="69"/>
      <c r="D82" s="77" t="s">
        <v>76</v>
      </c>
      <c r="E82" s="217"/>
      <c r="F82" s="54">
        <v>0.1</v>
      </c>
      <c r="G82" s="78">
        <f t="shared" si="0"/>
        <v>0</v>
      </c>
      <c r="H82" s="720">
        <f>(IF(G82="","",G82*I5))</f>
        <v>0</v>
      </c>
      <c r="I82" s="721"/>
      <c r="J82" s="79">
        <f t="shared" si="1"/>
        <v>0</v>
      </c>
      <c r="K82" s="80">
        <f t="shared" si="2"/>
        <v>0</v>
      </c>
      <c r="L82" s="104">
        <v>0.68</v>
      </c>
      <c r="M82" s="79">
        <f t="shared" si="20"/>
        <v>0</v>
      </c>
      <c r="N82" s="722">
        <f>IF(M82="","",M82/100*O6+M82)</f>
        <v>0</v>
      </c>
      <c r="O82" s="723"/>
      <c r="P82" s="82">
        <f t="shared" si="14"/>
        <v>0</v>
      </c>
      <c r="Q82" s="83">
        <f t="shared" si="27"/>
        <v>0</v>
      </c>
      <c r="R82" s="84">
        <f t="shared" si="28"/>
        <v>0</v>
      </c>
      <c r="S82" s="83">
        <f t="shared" si="29"/>
        <v>0</v>
      </c>
      <c r="T82" s="51" t="e">
        <f t="shared" si="5"/>
        <v>#DIV/0!</v>
      </c>
      <c r="U82" s="51" t="e">
        <f t="shared" si="15"/>
        <v>#DIV/0!</v>
      </c>
    </row>
    <row r="83" spans="1:21" s="51" customFormat="1" ht="15" customHeight="1" x14ac:dyDescent="0.25">
      <c r="A83" s="69"/>
      <c r="B83" s="70" t="s">
        <v>114</v>
      </c>
      <c r="C83" s="69"/>
      <c r="D83" s="77" t="s">
        <v>129</v>
      </c>
      <c r="E83" s="217"/>
      <c r="F83" s="54"/>
      <c r="G83" s="78" t="str">
        <f t="shared" si="0"/>
        <v/>
      </c>
      <c r="H83" s="720" t="str">
        <f>(IF(G83="","",G83*I5))</f>
        <v/>
      </c>
      <c r="I83" s="721"/>
      <c r="J83" s="79" t="str">
        <f t="shared" si="1"/>
        <v/>
      </c>
      <c r="K83" s="80" t="str">
        <f t="shared" si="2"/>
        <v/>
      </c>
      <c r="L83" s="104">
        <v>4.12</v>
      </c>
      <c r="M83" s="79">
        <f t="shared" si="20"/>
        <v>0</v>
      </c>
      <c r="N83" s="722">
        <f>IF(M83="","",M83/100*O8+M83)</f>
        <v>0</v>
      </c>
      <c r="O83" s="723"/>
      <c r="P83" s="82">
        <f t="shared" si="14"/>
        <v>0</v>
      </c>
      <c r="Q83" s="83">
        <f t="shared" si="27"/>
        <v>0</v>
      </c>
      <c r="R83" s="84" t="str">
        <f t="shared" si="28"/>
        <v/>
      </c>
      <c r="S83" s="83" t="str">
        <f t="shared" si="29"/>
        <v/>
      </c>
      <c r="T83" s="51" t="str">
        <f t="shared" si="5"/>
        <v/>
      </c>
      <c r="U83" s="51" t="e">
        <f t="shared" si="15"/>
        <v>#DIV/0!</v>
      </c>
    </row>
    <row r="84" spans="1:21" s="51" customFormat="1" ht="15" customHeight="1" x14ac:dyDescent="0.25">
      <c r="A84" s="69"/>
      <c r="B84" s="70" t="s">
        <v>114</v>
      </c>
      <c r="C84" s="69"/>
      <c r="D84" s="77" t="s">
        <v>128</v>
      </c>
      <c r="E84" s="217"/>
      <c r="F84" s="54"/>
      <c r="G84" s="78" t="str">
        <f t="shared" si="0"/>
        <v/>
      </c>
      <c r="H84" s="720" t="str">
        <f>(IF(G84="","",G84*I5))</f>
        <v/>
      </c>
      <c r="I84" s="721"/>
      <c r="J84" s="79" t="str">
        <f t="shared" si="1"/>
        <v/>
      </c>
      <c r="K84" s="80" t="str">
        <f t="shared" si="2"/>
        <v/>
      </c>
      <c r="L84" s="104">
        <v>2.65</v>
      </c>
      <c r="M84" s="79">
        <f t="shared" si="20"/>
        <v>0</v>
      </c>
      <c r="N84" s="722">
        <f>IF(M84="","",M84/100*O5+M84)</f>
        <v>0</v>
      </c>
      <c r="O84" s="723"/>
      <c r="P84" s="82">
        <f t="shared" si="14"/>
        <v>0</v>
      </c>
      <c r="Q84" s="83">
        <f t="shared" si="27"/>
        <v>0</v>
      </c>
      <c r="R84" s="84" t="str">
        <f t="shared" si="28"/>
        <v/>
      </c>
      <c r="S84" s="83" t="str">
        <f t="shared" si="29"/>
        <v/>
      </c>
      <c r="T84" s="51" t="str">
        <f t="shared" si="5"/>
        <v/>
      </c>
      <c r="U84" s="51" t="e">
        <f t="shared" si="15"/>
        <v>#DIV/0!</v>
      </c>
    </row>
    <row r="85" spans="1:21" s="51" customFormat="1" ht="15" customHeight="1" x14ac:dyDescent="0.25">
      <c r="A85" s="69"/>
      <c r="B85" s="70" t="s">
        <v>114</v>
      </c>
      <c r="C85" s="69"/>
      <c r="D85" s="77" t="s">
        <v>130</v>
      </c>
      <c r="E85" s="217"/>
      <c r="F85" s="54"/>
      <c r="G85" s="78" t="str">
        <f t="shared" si="0"/>
        <v/>
      </c>
      <c r="H85" s="720" t="str">
        <f>(IF(G85="","",G85*I5))</f>
        <v/>
      </c>
      <c r="I85" s="721"/>
      <c r="J85" s="79" t="str">
        <f t="shared" si="1"/>
        <v/>
      </c>
      <c r="K85" s="80" t="str">
        <f t="shared" si="2"/>
        <v/>
      </c>
      <c r="L85" s="104">
        <v>3.56</v>
      </c>
      <c r="M85" s="79">
        <f t="shared" si="20"/>
        <v>0</v>
      </c>
      <c r="N85" s="722">
        <f>IF(M85="","",M85/100*O9+M85)</f>
        <v>0</v>
      </c>
      <c r="O85" s="723"/>
      <c r="P85" s="82">
        <f t="shared" si="14"/>
        <v>0</v>
      </c>
      <c r="Q85" s="83">
        <f t="shared" si="27"/>
        <v>0</v>
      </c>
      <c r="R85" s="84" t="str">
        <f t="shared" si="28"/>
        <v/>
      </c>
      <c r="S85" s="83" t="str">
        <f t="shared" si="29"/>
        <v/>
      </c>
      <c r="T85" s="51" t="str">
        <f t="shared" si="5"/>
        <v/>
      </c>
      <c r="U85" s="51" t="e">
        <f t="shared" si="15"/>
        <v>#DIV/0!</v>
      </c>
    </row>
    <row r="86" spans="1:21" s="51" customFormat="1" ht="15" customHeight="1" x14ac:dyDescent="0.25">
      <c r="A86" s="70"/>
      <c r="B86" s="70" t="s">
        <v>114</v>
      </c>
      <c r="C86" s="70"/>
      <c r="D86" s="165" t="s">
        <v>115</v>
      </c>
      <c r="E86" s="53"/>
      <c r="F86" s="54"/>
      <c r="G86" s="78" t="str">
        <f t="shared" si="0"/>
        <v/>
      </c>
      <c r="H86" s="720" t="str">
        <f>(IF(G86="","",G86*I5))</f>
        <v/>
      </c>
      <c r="I86" s="721"/>
      <c r="J86" s="79" t="str">
        <f t="shared" si="1"/>
        <v/>
      </c>
      <c r="K86" s="80" t="str">
        <f t="shared" si="2"/>
        <v/>
      </c>
      <c r="L86" s="104">
        <v>0.3</v>
      </c>
      <c r="M86" s="79">
        <f t="shared" si="20"/>
        <v>0</v>
      </c>
      <c r="N86" s="722">
        <f>IF(M86="","",M86/100*O9+M86)</f>
        <v>0</v>
      </c>
      <c r="O86" s="723"/>
      <c r="P86" s="82">
        <f t="shared" si="14"/>
        <v>0</v>
      </c>
      <c r="Q86" s="83">
        <f t="shared" si="27"/>
        <v>0</v>
      </c>
      <c r="R86" s="84" t="str">
        <f t="shared" si="28"/>
        <v/>
      </c>
      <c r="S86" s="83" t="str">
        <f t="shared" si="29"/>
        <v/>
      </c>
      <c r="T86" s="51" t="str">
        <f t="shared" si="5"/>
        <v/>
      </c>
      <c r="U86" s="51" t="e">
        <f t="shared" si="15"/>
        <v>#DIV/0!</v>
      </c>
    </row>
    <row r="87" spans="1:21" s="51" customFormat="1" ht="15" customHeight="1" x14ac:dyDescent="0.25">
      <c r="A87" s="69"/>
      <c r="B87" s="70" t="s">
        <v>114</v>
      </c>
      <c r="C87" s="69"/>
      <c r="D87" s="76" t="s">
        <v>118</v>
      </c>
      <c r="E87" s="217"/>
      <c r="F87" s="54">
        <v>0.25</v>
      </c>
      <c r="G87" s="85">
        <f t="shared" si="0"/>
        <v>0</v>
      </c>
      <c r="H87" s="712">
        <f>(IF(G87="","",G87*I5))</f>
        <v>0</v>
      </c>
      <c r="I87" s="713"/>
      <c r="J87" s="86">
        <f t="shared" si="1"/>
        <v>0</v>
      </c>
      <c r="K87" s="87">
        <f t="shared" si="2"/>
        <v>0</v>
      </c>
      <c r="L87" s="104">
        <v>7.5</v>
      </c>
      <c r="M87" s="86">
        <f t="shared" si="20"/>
        <v>0</v>
      </c>
      <c r="N87" s="714">
        <f>IF(M87="","",M87/100*O14+M87)</f>
        <v>0</v>
      </c>
      <c r="O87" s="715"/>
      <c r="P87" s="89">
        <f t="shared" si="14"/>
        <v>0</v>
      </c>
      <c r="Q87" s="90">
        <f t="shared" si="27"/>
        <v>0</v>
      </c>
      <c r="R87" s="91">
        <f t="shared" si="28"/>
        <v>0</v>
      </c>
      <c r="S87" s="90">
        <f t="shared" si="29"/>
        <v>0</v>
      </c>
      <c r="T87" s="51" t="e">
        <f t="shared" si="5"/>
        <v>#DIV/0!</v>
      </c>
      <c r="U87" s="51" t="e">
        <f t="shared" si="15"/>
        <v>#DIV/0!</v>
      </c>
    </row>
    <row r="88" spans="1:21" s="51" customFormat="1" ht="15" customHeight="1" x14ac:dyDescent="0.25">
      <c r="A88" s="69"/>
      <c r="B88" s="70" t="s">
        <v>114</v>
      </c>
      <c r="C88" s="69"/>
      <c r="D88" s="76" t="s">
        <v>106</v>
      </c>
      <c r="E88" s="217"/>
      <c r="F88" s="54"/>
      <c r="G88" s="85" t="str">
        <f t="shared" si="0"/>
        <v/>
      </c>
      <c r="H88" s="712" t="str">
        <f>(IF(G88="","",G88*I5))</f>
        <v/>
      </c>
      <c r="I88" s="713"/>
      <c r="J88" s="86" t="str">
        <f t="shared" si="1"/>
        <v/>
      </c>
      <c r="K88" s="87" t="str">
        <f t="shared" si="2"/>
        <v/>
      </c>
      <c r="L88" s="104">
        <v>3.68</v>
      </c>
      <c r="M88" s="86">
        <f t="shared" si="20"/>
        <v>0</v>
      </c>
      <c r="N88" s="714">
        <f>IF(M88="","",M88/100*O14+M88)</f>
        <v>0</v>
      </c>
      <c r="O88" s="715"/>
      <c r="P88" s="89">
        <f t="shared" si="14"/>
        <v>0</v>
      </c>
      <c r="Q88" s="90">
        <f t="shared" si="27"/>
        <v>0</v>
      </c>
      <c r="R88" s="91" t="str">
        <f t="shared" si="28"/>
        <v/>
      </c>
      <c r="S88" s="90" t="str">
        <f t="shared" si="29"/>
        <v/>
      </c>
      <c r="T88" s="51" t="str">
        <f t="shared" si="5"/>
        <v/>
      </c>
      <c r="U88" s="51" t="e">
        <f t="shared" si="15"/>
        <v>#DIV/0!</v>
      </c>
    </row>
    <row r="89" spans="1:21" s="51" customFormat="1" ht="15" customHeight="1" x14ac:dyDescent="0.25">
      <c r="A89" s="69"/>
      <c r="B89" s="70" t="s">
        <v>114</v>
      </c>
      <c r="C89" s="69"/>
      <c r="D89" s="76" t="s">
        <v>108</v>
      </c>
      <c r="E89" s="217"/>
      <c r="F89" s="54"/>
      <c r="G89" s="85" t="str">
        <f t="shared" si="0"/>
        <v/>
      </c>
      <c r="H89" s="712" t="str">
        <f>(IF(G89="","",G89*I5))</f>
        <v/>
      </c>
      <c r="I89" s="713"/>
      <c r="J89" s="86" t="str">
        <f t="shared" si="1"/>
        <v/>
      </c>
      <c r="K89" s="87" t="str">
        <f t="shared" si="2"/>
        <v/>
      </c>
      <c r="L89" s="104">
        <v>15.33</v>
      </c>
      <c r="M89" s="86">
        <f t="shared" si="20"/>
        <v>0</v>
      </c>
      <c r="N89" s="714">
        <f>IF(M89="","",M89/100*O14+M89)</f>
        <v>0</v>
      </c>
      <c r="O89" s="715"/>
      <c r="P89" s="89">
        <f t="shared" si="14"/>
        <v>0</v>
      </c>
      <c r="Q89" s="90">
        <f t="shared" si="27"/>
        <v>0</v>
      </c>
      <c r="R89" s="91" t="str">
        <f t="shared" si="28"/>
        <v/>
      </c>
      <c r="S89" s="90" t="str">
        <f t="shared" si="29"/>
        <v/>
      </c>
      <c r="T89" s="51" t="str">
        <f t="shared" si="5"/>
        <v/>
      </c>
      <c r="U89" s="51" t="e">
        <f t="shared" si="15"/>
        <v>#DIV/0!</v>
      </c>
    </row>
    <row r="90" spans="1:21" s="51" customFormat="1" ht="15" customHeight="1" x14ac:dyDescent="0.25">
      <c r="A90" s="69"/>
      <c r="B90" s="70" t="s">
        <v>114</v>
      </c>
      <c r="C90" s="69"/>
      <c r="D90" s="76" t="s">
        <v>119</v>
      </c>
      <c r="E90" s="53"/>
      <c r="F90" s="54">
        <v>0.25</v>
      </c>
      <c r="G90" s="85">
        <f t="shared" si="0"/>
        <v>0</v>
      </c>
      <c r="H90" s="712">
        <f>(IF(G90="","",G90*I5))</f>
        <v>0</v>
      </c>
      <c r="I90" s="713"/>
      <c r="J90" s="86">
        <f t="shared" si="1"/>
        <v>0</v>
      </c>
      <c r="K90" s="87">
        <f t="shared" si="2"/>
        <v>0</v>
      </c>
      <c r="L90" s="104">
        <v>5.64</v>
      </c>
      <c r="M90" s="86">
        <f t="shared" si="20"/>
        <v>0</v>
      </c>
      <c r="N90" s="714">
        <f>IF(M90="","",M90/100*O15+M90)</f>
        <v>0</v>
      </c>
      <c r="O90" s="715"/>
      <c r="P90" s="89">
        <f t="shared" si="14"/>
        <v>0</v>
      </c>
      <c r="Q90" s="90">
        <f t="shared" si="27"/>
        <v>0</v>
      </c>
      <c r="R90" s="91">
        <f t="shared" si="28"/>
        <v>0</v>
      </c>
      <c r="S90" s="90">
        <f t="shared" si="29"/>
        <v>0</v>
      </c>
      <c r="T90" s="51" t="e">
        <f t="shared" si="5"/>
        <v>#DIV/0!</v>
      </c>
      <c r="U90" s="51" t="e">
        <f t="shared" si="15"/>
        <v>#DIV/0!</v>
      </c>
    </row>
    <row r="91" spans="1:21" s="51" customFormat="1" ht="15" customHeight="1" x14ac:dyDescent="0.25">
      <c r="A91" s="69"/>
      <c r="B91" s="70" t="s">
        <v>114</v>
      </c>
      <c r="C91" s="69"/>
      <c r="D91" s="76" t="s">
        <v>105</v>
      </c>
      <c r="E91" s="217"/>
      <c r="F91" s="54"/>
      <c r="G91" s="85" t="str">
        <f t="shared" si="0"/>
        <v/>
      </c>
      <c r="H91" s="712" t="str">
        <f>(IF(G91="","",G91*I5))</f>
        <v/>
      </c>
      <c r="I91" s="713"/>
      <c r="J91" s="86" t="str">
        <f t="shared" si="1"/>
        <v/>
      </c>
      <c r="K91" s="87" t="str">
        <f t="shared" si="2"/>
        <v/>
      </c>
      <c r="L91" s="104">
        <v>2.95</v>
      </c>
      <c r="M91" s="86">
        <f t="shared" si="20"/>
        <v>0</v>
      </c>
      <c r="N91" s="714">
        <f>IF(M91="","",M91/100*O16+M91)</f>
        <v>0</v>
      </c>
      <c r="O91" s="715"/>
      <c r="P91" s="89">
        <f t="shared" si="14"/>
        <v>0</v>
      </c>
      <c r="Q91" s="90">
        <f t="shared" si="27"/>
        <v>0</v>
      </c>
      <c r="R91" s="91" t="str">
        <f t="shared" si="28"/>
        <v/>
      </c>
      <c r="S91" s="90" t="str">
        <f t="shared" si="29"/>
        <v/>
      </c>
      <c r="T91" s="51" t="str">
        <f t="shared" si="5"/>
        <v/>
      </c>
      <c r="U91" s="51" t="e">
        <f t="shared" si="15"/>
        <v>#DIV/0!</v>
      </c>
    </row>
    <row r="92" spans="1:21" s="51" customFormat="1" ht="15" customHeight="1" x14ac:dyDescent="0.25">
      <c r="A92" s="52"/>
      <c r="B92" s="70" t="s">
        <v>104</v>
      </c>
      <c r="C92" s="52"/>
      <c r="D92" s="76" t="s">
        <v>107</v>
      </c>
      <c r="E92" s="217"/>
      <c r="F92" s="54"/>
      <c r="G92" s="85" t="str">
        <f t="shared" si="0"/>
        <v/>
      </c>
      <c r="H92" s="712" t="str">
        <f>(IF(G92="","",G92*I5))</f>
        <v/>
      </c>
      <c r="I92" s="713"/>
      <c r="J92" s="86" t="str">
        <f t="shared" si="1"/>
        <v/>
      </c>
      <c r="K92" s="87" t="str">
        <f t="shared" si="2"/>
        <v/>
      </c>
      <c r="L92" s="104">
        <v>1.99</v>
      </c>
      <c r="M92" s="86">
        <f t="shared" si="20"/>
        <v>0</v>
      </c>
      <c r="N92" s="714">
        <f>IF(M92="","",M92/100*O17+M92)</f>
        <v>0</v>
      </c>
      <c r="O92" s="715"/>
      <c r="P92" s="89">
        <f t="shared" si="14"/>
        <v>0</v>
      </c>
      <c r="Q92" s="90">
        <f t="shared" si="27"/>
        <v>0</v>
      </c>
      <c r="R92" s="91" t="str">
        <f t="shared" si="28"/>
        <v/>
      </c>
      <c r="S92" s="90" t="str">
        <f t="shared" si="29"/>
        <v/>
      </c>
      <c r="T92" s="51" t="str">
        <f t="shared" si="5"/>
        <v/>
      </c>
      <c r="U92" s="51" t="e">
        <f t="shared" si="15"/>
        <v>#DIV/0!</v>
      </c>
    </row>
    <row r="93" spans="1:21" s="51" customFormat="1" ht="15" customHeight="1" x14ac:dyDescent="0.25">
      <c r="A93" s="70"/>
      <c r="B93" s="70" t="s">
        <v>114</v>
      </c>
      <c r="C93" s="70"/>
      <c r="D93" s="76" t="s">
        <v>120</v>
      </c>
      <c r="E93" s="217"/>
      <c r="F93" s="54"/>
      <c r="G93" s="85" t="str">
        <f t="shared" si="0"/>
        <v/>
      </c>
      <c r="H93" s="712" t="str">
        <f>(IF(G93="","",G93*I5))</f>
        <v/>
      </c>
      <c r="I93" s="713"/>
      <c r="J93" s="86" t="str">
        <f t="shared" si="1"/>
        <v/>
      </c>
      <c r="K93" s="87" t="str">
        <f t="shared" si="2"/>
        <v/>
      </c>
      <c r="L93" s="166">
        <v>3.25</v>
      </c>
      <c r="M93" s="86">
        <f t="shared" si="20"/>
        <v>0</v>
      </c>
      <c r="N93" s="714">
        <f>IF(M93="","",M93/100*O13+M93)</f>
        <v>0</v>
      </c>
      <c r="O93" s="715"/>
      <c r="P93" s="89">
        <f t="shared" si="14"/>
        <v>0</v>
      </c>
      <c r="Q93" s="90">
        <f t="shared" si="27"/>
        <v>0</v>
      </c>
      <c r="R93" s="91" t="str">
        <f t="shared" si="28"/>
        <v/>
      </c>
      <c r="S93" s="90" t="str">
        <f t="shared" si="29"/>
        <v/>
      </c>
      <c r="T93" s="51" t="str">
        <f t="shared" si="5"/>
        <v/>
      </c>
      <c r="U93" s="51" t="e">
        <f t="shared" si="15"/>
        <v>#DIV/0!</v>
      </c>
    </row>
    <row r="94" spans="1:21" s="51" customFormat="1" ht="15" customHeight="1" x14ac:dyDescent="0.25">
      <c r="A94" s="69"/>
      <c r="B94" s="70" t="s">
        <v>94</v>
      </c>
      <c r="C94" s="69"/>
      <c r="D94" s="76" t="s">
        <v>96</v>
      </c>
      <c r="E94" s="217"/>
      <c r="F94" s="54"/>
      <c r="G94" s="85" t="str">
        <f t="shared" si="0"/>
        <v/>
      </c>
      <c r="H94" s="712" t="str">
        <f>(IF(G94="","",G94*I5))</f>
        <v/>
      </c>
      <c r="I94" s="713"/>
      <c r="J94" s="86" t="str">
        <f t="shared" si="1"/>
        <v/>
      </c>
      <c r="K94" s="87" t="str">
        <f t="shared" si="2"/>
        <v/>
      </c>
      <c r="L94" s="104">
        <v>0.8</v>
      </c>
      <c r="M94" s="86">
        <f t="shared" si="20"/>
        <v>0</v>
      </c>
      <c r="N94" s="714">
        <f>IF(M94="","",M94/100*O14+M94)</f>
        <v>0</v>
      </c>
      <c r="O94" s="715"/>
      <c r="P94" s="89">
        <f t="shared" si="14"/>
        <v>0</v>
      </c>
      <c r="Q94" s="90">
        <f t="shared" si="27"/>
        <v>0</v>
      </c>
      <c r="R94" s="91" t="str">
        <f t="shared" si="28"/>
        <v/>
      </c>
      <c r="S94" s="90" t="str">
        <f t="shared" si="29"/>
        <v/>
      </c>
      <c r="T94" s="51" t="str">
        <f t="shared" si="5"/>
        <v/>
      </c>
      <c r="U94" s="51" t="e">
        <f t="shared" si="15"/>
        <v>#DIV/0!</v>
      </c>
    </row>
    <row r="95" spans="1:21" s="51" customFormat="1" ht="15" customHeight="1" x14ac:dyDescent="0.25">
      <c r="A95" s="69"/>
      <c r="B95" s="70" t="s">
        <v>134</v>
      </c>
      <c r="C95" s="69"/>
      <c r="D95" s="76" t="s">
        <v>95</v>
      </c>
      <c r="E95" s="53"/>
      <c r="F95" s="54"/>
      <c r="G95" s="85" t="str">
        <f t="shared" si="0"/>
        <v/>
      </c>
      <c r="H95" s="712" t="str">
        <f>(IF(G95="","",G95*I5))</f>
        <v/>
      </c>
      <c r="I95" s="713"/>
      <c r="J95" s="86" t="str">
        <f t="shared" si="1"/>
        <v/>
      </c>
      <c r="K95" s="87" t="str">
        <f t="shared" si="2"/>
        <v/>
      </c>
      <c r="L95" s="104">
        <v>22.78</v>
      </c>
      <c r="M95" s="86">
        <f t="shared" si="20"/>
        <v>0</v>
      </c>
      <c r="N95" s="714">
        <f>IF(M95="","",M95/100*O15+M95)</f>
        <v>0</v>
      </c>
      <c r="O95" s="715"/>
      <c r="P95" s="89">
        <f t="shared" si="14"/>
        <v>0</v>
      </c>
      <c r="Q95" s="90">
        <f t="shared" si="27"/>
        <v>0</v>
      </c>
      <c r="R95" s="91" t="str">
        <f t="shared" si="28"/>
        <v/>
      </c>
      <c r="S95" s="90" t="str">
        <f t="shared" si="29"/>
        <v/>
      </c>
      <c r="T95" s="51" t="str">
        <f t="shared" si="5"/>
        <v/>
      </c>
      <c r="U95" s="51" t="e">
        <f t="shared" si="15"/>
        <v>#DIV/0!</v>
      </c>
    </row>
    <row r="96" spans="1:21" s="51" customFormat="1" ht="15" customHeight="1" x14ac:dyDescent="0.25">
      <c r="A96" s="70"/>
      <c r="B96" s="70" t="s">
        <v>114</v>
      </c>
      <c r="C96" s="70"/>
      <c r="D96" s="76" t="s">
        <v>121</v>
      </c>
      <c r="E96" s="53"/>
      <c r="F96" s="54">
        <v>0.15</v>
      </c>
      <c r="G96" s="85">
        <f t="shared" si="0"/>
        <v>0</v>
      </c>
      <c r="H96" s="712">
        <f>(IF(G96="","",G96*I5))</f>
        <v>0</v>
      </c>
      <c r="I96" s="713"/>
      <c r="J96" s="86">
        <f t="shared" si="1"/>
        <v>0</v>
      </c>
      <c r="K96" s="87">
        <f t="shared" si="2"/>
        <v>0</v>
      </c>
      <c r="L96" s="166">
        <v>3.25</v>
      </c>
      <c r="M96" s="86">
        <f t="shared" si="20"/>
        <v>0</v>
      </c>
      <c r="N96" s="714">
        <f>IF(M96="","",M96/100*O15+M96)</f>
        <v>0</v>
      </c>
      <c r="O96" s="715"/>
      <c r="P96" s="89">
        <f t="shared" si="14"/>
        <v>0</v>
      </c>
      <c r="Q96" s="90">
        <f t="shared" si="27"/>
        <v>0</v>
      </c>
      <c r="R96" s="91">
        <f t="shared" si="28"/>
        <v>0</v>
      </c>
      <c r="S96" s="90">
        <f t="shared" si="29"/>
        <v>0</v>
      </c>
      <c r="T96" s="51" t="e">
        <f t="shared" si="5"/>
        <v>#DIV/0!</v>
      </c>
      <c r="U96" s="51" t="e">
        <f t="shared" si="15"/>
        <v>#DIV/0!</v>
      </c>
    </row>
    <row r="97" spans="1:21" s="51" customFormat="1" ht="15" customHeight="1" x14ac:dyDescent="0.25">
      <c r="A97" s="70"/>
      <c r="B97" s="70" t="s">
        <v>114</v>
      </c>
      <c r="C97" s="70"/>
      <c r="D97" s="74" t="s">
        <v>71</v>
      </c>
      <c r="E97" s="53"/>
      <c r="F97" s="54">
        <v>0.15</v>
      </c>
      <c r="G97" s="47">
        <f t="shared" si="0"/>
        <v>0</v>
      </c>
      <c r="H97" s="686">
        <f>(IF(G97="","",G97*I5))</f>
        <v>0</v>
      </c>
      <c r="I97" s="687"/>
      <c r="J97" s="63">
        <f t="shared" si="1"/>
        <v>0</v>
      </c>
      <c r="K97" s="62">
        <f t="shared" si="2"/>
        <v>0</v>
      </c>
      <c r="L97" s="55">
        <v>15</v>
      </c>
      <c r="M97" s="56">
        <f t="shared" si="20"/>
        <v>0</v>
      </c>
      <c r="N97" s="688">
        <f>IF(M97="","",M97/100*O15+M97)</f>
        <v>0</v>
      </c>
      <c r="O97" s="689"/>
      <c r="P97" s="58">
        <f t="shared" si="14"/>
        <v>0</v>
      </c>
      <c r="Q97" s="66">
        <f t="shared" si="27"/>
        <v>0</v>
      </c>
      <c r="R97" s="68">
        <f t="shared" si="28"/>
        <v>0</v>
      </c>
      <c r="S97" s="66">
        <f t="shared" si="29"/>
        <v>0</v>
      </c>
      <c r="T97" s="51" t="e">
        <f t="shared" si="5"/>
        <v>#DIV/0!</v>
      </c>
      <c r="U97" s="51" t="e">
        <f t="shared" si="15"/>
        <v>#DIV/0!</v>
      </c>
    </row>
    <row r="98" spans="1:21" s="51" customFormat="1" ht="15" customHeight="1" x14ac:dyDescent="0.25">
      <c r="A98" s="70"/>
      <c r="B98" s="70" t="s">
        <v>114</v>
      </c>
      <c r="C98" s="70"/>
      <c r="D98" s="74" t="s">
        <v>72</v>
      </c>
      <c r="E98" s="53"/>
      <c r="F98" s="54"/>
      <c r="G98" s="47" t="str">
        <f t="shared" si="0"/>
        <v/>
      </c>
      <c r="H98" s="686" t="str">
        <f>(IF(G98="","",G98*I5))</f>
        <v/>
      </c>
      <c r="I98" s="687"/>
      <c r="J98" s="63" t="str">
        <f t="shared" si="1"/>
        <v/>
      </c>
      <c r="K98" s="62" t="str">
        <f t="shared" si="2"/>
        <v/>
      </c>
      <c r="L98" s="166">
        <v>8.8000000000000007</v>
      </c>
      <c r="M98" s="56">
        <f t="shared" si="20"/>
        <v>0</v>
      </c>
      <c r="N98" s="688">
        <f>IF(M98="","",M98/100*O24+M98)</f>
        <v>0</v>
      </c>
      <c r="O98" s="689"/>
      <c r="P98" s="58">
        <f t="shared" si="14"/>
        <v>0</v>
      </c>
      <c r="Q98" s="66">
        <f t="shared" si="27"/>
        <v>0</v>
      </c>
      <c r="R98" s="68" t="str">
        <f t="shared" si="28"/>
        <v/>
      </c>
      <c r="S98" s="66" t="str">
        <f t="shared" si="29"/>
        <v/>
      </c>
      <c r="T98" s="51" t="str">
        <f t="shared" si="5"/>
        <v/>
      </c>
      <c r="U98" s="51" t="e">
        <f t="shared" si="15"/>
        <v>#DIV/0!</v>
      </c>
    </row>
    <row r="99" spans="1:21" s="51" customFormat="1" ht="15" customHeight="1" x14ac:dyDescent="0.25">
      <c r="A99" s="52"/>
      <c r="B99" s="52"/>
      <c r="C99" s="52"/>
      <c r="D99" s="74" t="s">
        <v>60</v>
      </c>
      <c r="E99" s="53"/>
      <c r="F99" s="54"/>
      <c r="G99" s="47" t="str">
        <f t="shared" si="0"/>
        <v/>
      </c>
      <c r="H99" s="686" t="str">
        <f>(IF(G99="","",G99*I5))</f>
        <v/>
      </c>
      <c r="I99" s="687"/>
      <c r="J99" s="63" t="str">
        <f t="shared" si="1"/>
        <v/>
      </c>
      <c r="K99" s="62" t="str">
        <f t="shared" si="2"/>
        <v/>
      </c>
      <c r="L99" s="55">
        <v>0.12</v>
      </c>
      <c r="M99" s="56">
        <f t="shared" si="20"/>
        <v>0</v>
      </c>
      <c r="N99" s="688">
        <f>IF(M99="","",M99/100*O16+M99)</f>
        <v>0</v>
      </c>
      <c r="O99" s="689"/>
      <c r="P99" s="58">
        <f t="shared" si="14"/>
        <v>0</v>
      </c>
      <c r="Q99" s="66">
        <f t="shared" si="27"/>
        <v>0</v>
      </c>
      <c r="R99" s="68" t="str">
        <f t="shared" si="28"/>
        <v/>
      </c>
      <c r="S99" s="66" t="str">
        <f t="shared" si="29"/>
        <v/>
      </c>
      <c r="T99" s="51" t="str">
        <f t="shared" si="5"/>
        <v/>
      </c>
      <c r="U99" s="51" t="e">
        <f t="shared" si="15"/>
        <v>#DIV/0!</v>
      </c>
    </row>
    <row r="100" spans="1:21" s="51" customFormat="1" ht="15" customHeight="1" x14ac:dyDescent="0.25">
      <c r="A100" s="70"/>
      <c r="B100" s="70" t="s">
        <v>114</v>
      </c>
      <c r="C100" s="70"/>
      <c r="D100" s="74" t="s">
        <v>122</v>
      </c>
      <c r="E100" s="53"/>
      <c r="F100" s="54"/>
      <c r="G100" s="47" t="str">
        <f t="shared" si="0"/>
        <v/>
      </c>
      <c r="H100" s="686" t="str">
        <f>(IF(G100="","",G100*I5))</f>
        <v/>
      </c>
      <c r="I100" s="687"/>
      <c r="J100" s="63" t="str">
        <f t="shared" si="1"/>
        <v/>
      </c>
      <c r="K100" s="62" t="str">
        <f t="shared" si="2"/>
        <v/>
      </c>
      <c r="L100" s="104">
        <v>23.53</v>
      </c>
      <c r="M100" s="56">
        <f t="shared" si="20"/>
        <v>0</v>
      </c>
      <c r="N100" s="688">
        <f>IF(M100="","",M100/100*O17+M100)</f>
        <v>0</v>
      </c>
      <c r="O100" s="689"/>
      <c r="P100" s="58">
        <f t="shared" si="14"/>
        <v>0</v>
      </c>
      <c r="Q100" s="66">
        <f t="shared" si="27"/>
        <v>0</v>
      </c>
      <c r="R100" s="68" t="str">
        <f t="shared" si="28"/>
        <v/>
      </c>
      <c r="S100" s="66" t="str">
        <f t="shared" si="29"/>
        <v/>
      </c>
      <c r="T100" s="51" t="str">
        <f t="shared" si="5"/>
        <v/>
      </c>
      <c r="U100" s="51" t="e">
        <f t="shared" si="15"/>
        <v>#DIV/0!</v>
      </c>
    </row>
    <row r="101" spans="1:21" s="51" customFormat="1" ht="15" customHeight="1" x14ac:dyDescent="0.25">
      <c r="A101" s="69"/>
      <c r="B101" s="103" t="s">
        <v>91</v>
      </c>
      <c r="C101" s="69"/>
      <c r="D101" s="74" t="s">
        <v>93</v>
      </c>
      <c r="E101" s="53"/>
      <c r="F101" s="54"/>
      <c r="G101" s="47" t="str">
        <f t="shared" si="0"/>
        <v/>
      </c>
      <c r="H101" s="686" t="str">
        <f>(IF(G101="","",G101*I5))</f>
        <v/>
      </c>
      <c r="I101" s="687"/>
      <c r="J101" s="63" t="str">
        <f t="shared" si="1"/>
        <v/>
      </c>
      <c r="K101" s="62" t="str">
        <f t="shared" si="2"/>
        <v/>
      </c>
      <c r="L101" s="104">
        <v>16.7</v>
      </c>
      <c r="M101" s="56">
        <f t="shared" ref="M101" si="45">IF(L101="","",E101*L101)</f>
        <v>0</v>
      </c>
      <c r="N101" s="688">
        <f>IF(M101="","",M101/100*O18+M101)</f>
        <v>0</v>
      </c>
      <c r="O101" s="689"/>
      <c r="P101" s="58">
        <f t="shared" si="14"/>
        <v>0</v>
      </c>
      <c r="Q101" s="66">
        <f t="shared" si="27"/>
        <v>0</v>
      </c>
      <c r="R101" s="68" t="str">
        <f t="shared" si="28"/>
        <v/>
      </c>
      <c r="S101" s="66" t="str">
        <f t="shared" si="29"/>
        <v/>
      </c>
      <c r="T101" s="51" t="str">
        <f t="shared" si="5"/>
        <v/>
      </c>
      <c r="U101" s="51" t="e">
        <f t="shared" si="15"/>
        <v>#DIV/0!</v>
      </c>
    </row>
    <row r="102" spans="1:21" s="51" customFormat="1" ht="15" customHeight="1" x14ac:dyDescent="0.25">
      <c r="A102" s="70"/>
      <c r="B102" s="70" t="s">
        <v>114</v>
      </c>
      <c r="C102" s="70"/>
      <c r="D102" s="74" t="s">
        <v>125</v>
      </c>
      <c r="E102" s="217"/>
      <c r="F102" s="54">
        <v>0.2</v>
      </c>
      <c r="G102" s="47">
        <f>(IF(F102="","",E102*F102))</f>
        <v>0</v>
      </c>
      <c r="H102" s="686">
        <f>(IF(G102="","",G102*I5))</f>
        <v>0</v>
      </c>
      <c r="I102" s="687"/>
      <c r="J102" s="63">
        <f>IF(H102&lt;1,0,T102)</f>
        <v>0</v>
      </c>
      <c r="K102" s="62">
        <f>IF(J102="","",E102*J102)</f>
        <v>0</v>
      </c>
      <c r="L102" s="166">
        <v>8.5</v>
      </c>
      <c r="M102" s="56">
        <f>IF(L102="","",E102*L102)</f>
        <v>0</v>
      </c>
      <c r="N102" s="688">
        <f>IF(M102="","",M102/100*O11+M102)</f>
        <v>0</v>
      </c>
      <c r="O102" s="689"/>
      <c r="P102" s="58">
        <f>IF(N102&lt;1,0,U102)</f>
        <v>0</v>
      </c>
      <c r="Q102" s="66">
        <f>IF(P102="","",E102*P102)</f>
        <v>0</v>
      </c>
      <c r="R102" s="68">
        <f>IF(J102="","",J102+P102)</f>
        <v>0</v>
      </c>
      <c r="S102" s="66">
        <f>IF(R102="","",E102*R102)</f>
        <v>0</v>
      </c>
      <c r="T102" s="51" t="e">
        <f>IF(H102="","",H102/E102)</f>
        <v>#DIV/0!</v>
      </c>
      <c r="U102" s="51" t="e">
        <f>IF(N102="","",N102/E102)</f>
        <v>#DIV/0!</v>
      </c>
    </row>
    <row r="103" spans="1:21" s="51" customFormat="1" ht="15" customHeight="1" x14ac:dyDescent="0.25">
      <c r="A103" s="70"/>
      <c r="B103" s="70" t="s">
        <v>114</v>
      </c>
      <c r="C103" s="70"/>
      <c r="D103" s="74" t="s">
        <v>126</v>
      </c>
      <c r="E103" s="217"/>
      <c r="F103" s="54">
        <v>0.2</v>
      </c>
      <c r="G103" s="47">
        <f>(IF(F103="","",E103*F103))</f>
        <v>0</v>
      </c>
      <c r="H103" s="686">
        <f>(IF(G103="","",G103*I5))</f>
        <v>0</v>
      </c>
      <c r="I103" s="687"/>
      <c r="J103" s="63">
        <f>IF(H103&lt;1,0,T103)</f>
        <v>0</v>
      </c>
      <c r="K103" s="62">
        <f>IF(J103="","",E103*J103)</f>
        <v>0</v>
      </c>
      <c r="L103" s="104">
        <v>25</v>
      </c>
      <c r="M103" s="56">
        <f t="shared" ref="M103:M106" si="46">IF(L103="","",E103*L103)</f>
        <v>0</v>
      </c>
      <c r="N103" s="688">
        <f>IF(M103="","",M103/100*O22+M103)</f>
        <v>0</v>
      </c>
      <c r="O103" s="689"/>
      <c r="P103" s="58">
        <f>IF(N103&lt;1,0,U103)</f>
        <v>0</v>
      </c>
      <c r="Q103" s="66">
        <f>IF(P103="","",E103*P103)</f>
        <v>0</v>
      </c>
      <c r="R103" s="68">
        <f>IF(J103="","",J103+P103)</f>
        <v>0</v>
      </c>
      <c r="S103" s="66">
        <f>IF(R103="","",E103*R103)</f>
        <v>0</v>
      </c>
      <c r="T103" s="51" t="e">
        <f>IF(H103="","",H103/E103)</f>
        <v>#DIV/0!</v>
      </c>
      <c r="U103" s="51" t="e">
        <f>IF(N103="","",N103/E103)</f>
        <v>#DIV/0!</v>
      </c>
    </row>
    <row r="104" spans="1:21" s="51" customFormat="1" ht="15" customHeight="1" x14ac:dyDescent="0.25">
      <c r="A104" s="70"/>
      <c r="B104" s="70" t="s">
        <v>114</v>
      </c>
      <c r="C104" s="70"/>
      <c r="D104" s="74" t="s">
        <v>127</v>
      </c>
      <c r="E104" s="53"/>
      <c r="F104" s="54"/>
      <c r="G104" s="47" t="str">
        <f>(IF(F104="","",E104*F104))</f>
        <v/>
      </c>
      <c r="H104" s="686" t="str">
        <f>(IF(G104="","",G104*I5))</f>
        <v/>
      </c>
      <c r="I104" s="687"/>
      <c r="J104" s="63" t="str">
        <f>IF(H104&lt;1,0,T104)</f>
        <v/>
      </c>
      <c r="K104" s="62" t="str">
        <f>IF(J104="","",E104*J104)</f>
        <v/>
      </c>
      <c r="L104" s="166">
        <v>1.4</v>
      </c>
      <c r="M104" s="56">
        <f t="shared" si="46"/>
        <v>0</v>
      </c>
      <c r="N104" s="688">
        <f>IF(M104="","",M104/100*O23+M104)</f>
        <v>0</v>
      </c>
      <c r="O104" s="689"/>
      <c r="P104" s="58">
        <f>IF(N104&lt;1,0,U104)</f>
        <v>0</v>
      </c>
      <c r="Q104" s="66">
        <f>IF(P104="","",E104*P104)</f>
        <v>0</v>
      </c>
      <c r="R104" s="68" t="str">
        <f>IF(J104="","",J104+P104)</f>
        <v/>
      </c>
      <c r="S104" s="66" t="str">
        <f>IF(R104="","",E104*R104)</f>
        <v/>
      </c>
      <c r="T104" s="51" t="str">
        <f>IF(H104="","",H104/E104)</f>
        <v/>
      </c>
      <c r="U104" s="51" t="e">
        <f>IF(N104="","",N104/E104)</f>
        <v>#DIV/0!</v>
      </c>
    </row>
    <row r="105" spans="1:21" s="51" customFormat="1" ht="15" customHeight="1" x14ac:dyDescent="0.25">
      <c r="A105" s="70"/>
      <c r="B105" s="70" t="s">
        <v>114</v>
      </c>
      <c r="C105" s="70"/>
      <c r="D105" s="74" t="s">
        <v>131</v>
      </c>
      <c r="E105" s="53"/>
      <c r="F105" s="54"/>
      <c r="G105" s="47" t="str">
        <f>(IF(F105="","",E105*F105))</f>
        <v/>
      </c>
      <c r="H105" s="686" t="str">
        <f>(IF(G105="","",G105*I5))</f>
        <v/>
      </c>
      <c r="I105" s="687"/>
      <c r="J105" s="63" t="str">
        <f>IF(H105&lt;1,0,T105)</f>
        <v/>
      </c>
      <c r="K105" s="62" t="str">
        <f>IF(J105="","",E105*J105)</f>
        <v/>
      </c>
      <c r="L105" s="104">
        <v>3.31</v>
      </c>
      <c r="M105" s="56">
        <f t="shared" si="46"/>
        <v>0</v>
      </c>
      <c r="N105" s="688">
        <f>IF(M105="","",M105/100*O24+M105)</f>
        <v>0</v>
      </c>
      <c r="O105" s="689"/>
      <c r="P105" s="58">
        <f>IF(N105&lt;1,0,U105)</f>
        <v>0</v>
      </c>
      <c r="Q105" s="66">
        <f>IF(P105="","",E105*P105)</f>
        <v>0</v>
      </c>
      <c r="R105" s="68" t="str">
        <f>IF(J105="","",J105+P105)</f>
        <v/>
      </c>
      <c r="S105" s="66" t="str">
        <f>IF(R105="","",E105*R105)</f>
        <v/>
      </c>
      <c r="T105" s="51" t="str">
        <f>IF(H105="","",H105/E105)</f>
        <v/>
      </c>
      <c r="U105" s="51" t="e">
        <f>IF(N105="","",N105/E105)</f>
        <v>#DIV/0!</v>
      </c>
    </row>
    <row r="106" spans="1:21" s="51" customFormat="1" ht="15" customHeight="1" x14ac:dyDescent="0.25">
      <c r="A106" s="70"/>
      <c r="B106" s="70" t="s">
        <v>160</v>
      </c>
      <c r="C106" s="70"/>
      <c r="D106" s="69" t="s">
        <v>162</v>
      </c>
      <c r="E106" s="53"/>
      <c r="F106" s="201">
        <v>0</v>
      </c>
      <c r="G106" s="202">
        <f t="shared" ref="G106" si="47">(IF(F106="","",E106*F106))</f>
        <v>0</v>
      </c>
      <c r="H106" s="709">
        <f>(IF(G106="","",G106*I5))</f>
        <v>0</v>
      </c>
      <c r="I106" s="710"/>
      <c r="J106" s="96">
        <f t="shared" ref="J106" si="48">IF(H106&lt;1,0,T106)</f>
        <v>0</v>
      </c>
      <c r="K106" s="98">
        <f t="shared" ref="K106" si="49">IF(J106="","",E106*J106)</f>
        <v>0</v>
      </c>
      <c r="L106" s="104">
        <v>47</v>
      </c>
      <c r="M106" s="56">
        <f t="shared" si="46"/>
        <v>0</v>
      </c>
      <c r="N106" s="688">
        <f>IF(M106="","",M106/100*O6+M106)</f>
        <v>0</v>
      </c>
      <c r="O106" s="689"/>
      <c r="P106" s="58">
        <f t="shared" ref="P106" si="50">IF(N106&lt;1,0,U106)</f>
        <v>0</v>
      </c>
      <c r="Q106" s="66">
        <f t="shared" ref="Q106" si="51">IF(P106="","",E106*P106)</f>
        <v>0</v>
      </c>
      <c r="R106" s="68">
        <f t="shared" ref="R106" si="52">IF(J106="","",J106+P106)</f>
        <v>0</v>
      </c>
      <c r="S106" s="66">
        <f t="shared" ref="S106" si="53">IF(R106="","",E106*R106)</f>
        <v>0</v>
      </c>
      <c r="T106" s="51" t="e">
        <f t="shared" ref="T106" si="54">IF(H106="","",H106/E106)</f>
        <v>#DIV/0!</v>
      </c>
      <c r="U106" s="51" t="e">
        <f t="shared" ref="U106" si="55">IF(N106="","",N106/E106)</f>
        <v>#DIV/0!</v>
      </c>
    </row>
    <row r="107" spans="1:21" s="51" customFormat="1" ht="15" customHeight="1" x14ac:dyDescent="0.25">
      <c r="A107" s="52"/>
      <c r="B107" s="52"/>
      <c r="C107" s="52"/>
      <c r="D107" s="52" t="s">
        <v>45</v>
      </c>
      <c r="E107" s="53">
        <v>404</v>
      </c>
      <c r="F107" s="54">
        <v>0</v>
      </c>
      <c r="G107" s="57">
        <f>(IF(F107="","",E107*F107))</f>
        <v>0</v>
      </c>
      <c r="H107" s="692">
        <f>(IF(G107="","",G107*I5))</f>
        <v>0</v>
      </c>
      <c r="I107" s="711"/>
      <c r="J107" s="63">
        <f>IF(H107&lt;1,0,T107)</f>
        <v>0</v>
      </c>
      <c r="K107" s="50">
        <f>IF(J107="","",E107*J107)</f>
        <v>0</v>
      </c>
      <c r="L107" s="55">
        <v>42</v>
      </c>
      <c r="M107" s="56">
        <f>IF(L107="","",E107*L107)</f>
        <v>16968</v>
      </c>
      <c r="N107" s="688">
        <f>IF(M107="","",M107/100*O5+M107)</f>
        <v>16968</v>
      </c>
      <c r="O107" s="689"/>
      <c r="P107" s="58">
        <f>IF(N107&lt;1,0,U107)</f>
        <v>42</v>
      </c>
      <c r="Q107" s="66">
        <f>IF(P107="","",E107*P107)</f>
        <v>16968</v>
      </c>
      <c r="R107" s="68">
        <f>IF(J107="","",J107+P107)</f>
        <v>42</v>
      </c>
      <c r="S107" s="66">
        <f>IF(R107="","",E107*R107)</f>
        <v>16968</v>
      </c>
      <c r="T107" s="51">
        <f>IF(H107="","",H107/E107)</f>
        <v>0</v>
      </c>
      <c r="U107" s="51">
        <f>IF(N107="","",N107/E107)</f>
        <v>42</v>
      </c>
    </row>
    <row r="108" spans="1:21" s="51" customFormat="1" ht="15" customHeight="1" x14ac:dyDescent="0.25">
      <c r="A108" s="70"/>
      <c r="B108" s="70" t="s">
        <v>114</v>
      </c>
      <c r="C108" s="70"/>
      <c r="D108" s="52" t="s">
        <v>39</v>
      </c>
      <c r="E108" s="53">
        <v>200</v>
      </c>
      <c r="F108" s="54">
        <v>0</v>
      </c>
      <c r="G108" s="57">
        <f t="shared" si="0"/>
        <v>0</v>
      </c>
      <c r="H108" s="692">
        <f>(IF(G108="","",G108*I5))</f>
        <v>0</v>
      </c>
      <c r="I108" s="711"/>
      <c r="J108" s="63">
        <f t="shared" si="1"/>
        <v>0</v>
      </c>
      <c r="K108" s="50">
        <f t="shared" si="2"/>
        <v>0</v>
      </c>
      <c r="L108" s="55">
        <v>3.45</v>
      </c>
      <c r="M108" s="56">
        <f t="shared" ref="M108:M124" si="56">IF(L108="","",E108*L108)</f>
        <v>690</v>
      </c>
      <c r="N108" s="688">
        <f>IF(M108="","",M108/100*O5+M108)</f>
        <v>690</v>
      </c>
      <c r="O108" s="689"/>
      <c r="P108" s="58">
        <f t="shared" si="14"/>
        <v>3.45</v>
      </c>
      <c r="Q108" s="66">
        <f t="shared" si="27"/>
        <v>690</v>
      </c>
      <c r="R108" s="68">
        <f t="shared" si="28"/>
        <v>3.45</v>
      </c>
      <c r="S108" s="66">
        <f t="shared" si="29"/>
        <v>690</v>
      </c>
      <c r="T108" s="51">
        <f t="shared" si="5"/>
        <v>0</v>
      </c>
      <c r="U108" s="51">
        <f t="shared" si="15"/>
        <v>3.45</v>
      </c>
    </row>
    <row r="109" spans="1:21" s="51" customFormat="1" ht="15" customHeight="1" x14ac:dyDescent="0.25">
      <c r="A109" s="52"/>
      <c r="B109" s="52"/>
      <c r="C109" s="52"/>
      <c r="D109" s="52" t="s">
        <v>52</v>
      </c>
      <c r="E109" s="53"/>
      <c r="F109" s="54">
        <v>0</v>
      </c>
      <c r="G109" s="57">
        <f t="shared" si="0"/>
        <v>0</v>
      </c>
      <c r="H109" s="692">
        <f>(IF(G109="","",G109*I5))</f>
        <v>0</v>
      </c>
      <c r="I109" s="711"/>
      <c r="J109" s="63">
        <f t="shared" si="1"/>
        <v>0</v>
      </c>
      <c r="K109" s="50">
        <f t="shared" si="2"/>
        <v>0</v>
      </c>
      <c r="L109" s="55">
        <v>16.05</v>
      </c>
      <c r="M109" s="56">
        <f t="shared" si="56"/>
        <v>0</v>
      </c>
      <c r="N109" s="688">
        <f>IF(M109="","",M109/100*O5+M109)</f>
        <v>0</v>
      </c>
      <c r="O109" s="689"/>
      <c r="P109" s="58">
        <f t="shared" si="14"/>
        <v>0</v>
      </c>
      <c r="Q109" s="66">
        <f t="shared" si="27"/>
        <v>0</v>
      </c>
      <c r="R109" s="68">
        <f t="shared" si="28"/>
        <v>0</v>
      </c>
      <c r="S109" s="66">
        <f t="shared" si="29"/>
        <v>0</v>
      </c>
      <c r="T109" s="51" t="e">
        <f t="shared" si="5"/>
        <v>#DIV/0!</v>
      </c>
      <c r="U109" s="51" t="e">
        <f t="shared" si="15"/>
        <v>#DIV/0!</v>
      </c>
    </row>
    <row r="110" spans="1:21" s="51" customFormat="1" ht="15" customHeight="1" x14ac:dyDescent="0.25">
      <c r="A110" s="52"/>
      <c r="B110" s="52"/>
      <c r="C110" s="52"/>
      <c r="D110" s="52" t="s">
        <v>64</v>
      </c>
      <c r="E110" s="53"/>
      <c r="F110" s="54">
        <v>0</v>
      </c>
      <c r="G110" s="57">
        <f t="shared" si="0"/>
        <v>0</v>
      </c>
      <c r="H110" s="692">
        <f>(IF(G110="","",G110*I5))</f>
        <v>0</v>
      </c>
      <c r="I110" s="711"/>
      <c r="J110" s="63">
        <f t="shared" si="1"/>
        <v>0</v>
      </c>
      <c r="K110" s="50">
        <f t="shared" si="2"/>
        <v>0</v>
      </c>
      <c r="L110" s="55">
        <v>2</v>
      </c>
      <c r="M110" s="56">
        <f t="shared" si="56"/>
        <v>0</v>
      </c>
      <c r="N110" s="688">
        <f>IF(M110="","",M110/100*O6+M110)</f>
        <v>0</v>
      </c>
      <c r="O110" s="689"/>
      <c r="P110" s="58">
        <f t="shared" si="14"/>
        <v>0</v>
      </c>
      <c r="Q110" s="66">
        <f t="shared" si="27"/>
        <v>0</v>
      </c>
      <c r="R110" s="68">
        <f t="shared" si="28"/>
        <v>0</v>
      </c>
      <c r="S110" s="66">
        <f t="shared" si="29"/>
        <v>0</v>
      </c>
      <c r="T110" s="51" t="e">
        <f t="shared" si="5"/>
        <v>#DIV/0!</v>
      </c>
      <c r="U110" s="51" t="e">
        <f t="shared" si="15"/>
        <v>#DIV/0!</v>
      </c>
    </row>
    <row r="111" spans="1:21" s="51" customFormat="1" ht="15" customHeight="1" x14ac:dyDescent="0.25">
      <c r="A111" s="52"/>
      <c r="B111" s="52"/>
      <c r="C111" s="52"/>
      <c r="D111" s="52" t="s">
        <v>40</v>
      </c>
      <c r="E111" s="53"/>
      <c r="F111" s="54">
        <v>0</v>
      </c>
      <c r="G111" s="57">
        <f t="shared" si="0"/>
        <v>0</v>
      </c>
      <c r="H111" s="692">
        <f>(IF(G111="","",G111*I5))</f>
        <v>0</v>
      </c>
      <c r="I111" s="711"/>
      <c r="J111" s="63">
        <f t="shared" si="1"/>
        <v>0</v>
      </c>
      <c r="K111" s="50">
        <f t="shared" si="2"/>
        <v>0</v>
      </c>
      <c r="L111" s="55">
        <v>1.04</v>
      </c>
      <c r="M111" s="56">
        <f t="shared" si="56"/>
        <v>0</v>
      </c>
      <c r="N111" s="688">
        <f>IF(M111="","",M111/100*O5+M111)</f>
        <v>0</v>
      </c>
      <c r="O111" s="689"/>
      <c r="P111" s="58">
        <f t="shared" si="14"/>
        <v>0</v>
      </c>
      <c r="Q111" s="66">
        <f t="shared" si="27"/>
        <v>0</v>
      </c>
      <c r="R111" s="68">
        <f t="shared" si="28"/>
        <v>0</v>
      </c>
      <c r="S111" s="66">
        <f t="shared" si="29"/>
        <v>0</v>
      </c>
      <c r="T111" s="51" t="e">
        <f t="shared" si="5"/>
        <v>#DIV/0!</v>
      </c>
      <c r="U111" s="51" t="e">
        <f t="shared" si="15"/>
        <v>#DIV/0!</v>
      </c>
    </row>
    <row r="112" spans="1:21" s="51" customFormat="1" ht="29.25" customHeight="1" x14ac:dyDescent="0.25">
      <c r="A112" s="70"/>
      <c r="B112" s="70" t="s">
        <v>114</v>
      </c>
      <c r="C112" s="70"/>
      <c r="D112" s="93" t="s">
        <v>79</v>
      </c>
      <c r="E112" s="217"/>
      <c r="F112" s="54">
        <v>1</v>
      </c>
      <c r="G112" s="57">
        <f t="shared" si="0"/>
        <v>0</v>
      </c>
      <c r="H112" s="692">
        <f>(IF(G112="","",G112*I5))</f>
        <v>0</v>
      </c>
      <c r="I112" s="711"/>
      <c r="J112" s="63">
        <f t="shared" si="1"/>
        <v>0</v>
      </c>
      <c r="K112" s="50">
        <f t="shared" si="2"/>
        <v>0</v>
      </c>
      <c r="L112" s="55">
        <v>37</v>
      </c>
      <c r="M112" s="56">
        <f t="shared" si="56"/>
        <v>0</v>
      </c>
      <c r="N112" s="688">
        <f>IF(M112="","",M112/100*O6+M112)</f>
        <v>0</v>
      </c>
      <c r="O112" s="689"/>
      <c r="P112" s="58">
        <f t="shared" si="14"/>
        <v>0</v>
      </c>
      <c r="Q112" s="66">
        <f t="shared" si="27"/>
        <v>0</v>
      </c>
      <c r="R112" s="68">
        <f t="shared" si="28"/>
        <v>0</v>
      </c>
      <c r="S112" s="66">
        <f t="shared" si="29"/>
        <v>0</v>
      </c>
      <c r="T112" s="51" t="e">
        <f t="shared" si="5"/>
        <v>#DIV/0!</v>
      </c>
      <c r="U112" s="51" t="e">
        <f t="shared" si="15"/>
        <v>#DIV/0!</v>
      </c>
    </row>
    <row r="113" spans="1:27" s="51" customFormat="1" ht="15" customHeight="1" x14ac:dyDescent="0.25">
      <c r="A113" s="52"/>
      <c r="B113" s="52"/>
      <c r="C113" s="52"/>
      <c r="D113" s="52" t="s">
        <v>41</v>
      </c>
      <c r="E113" s="53"/>
      <c r="F113" s="54">
        <v>0</v>
      </c>
      <c r="G113" s="57">
        <f t="shared" si="0"/>
        <v>0</v>
      </c>
      <c r="H113" s="692">
        <f>(IF(G113="","",G113*I5))</f>
        <v>0</v>
      </c>
      <c r="I113" s="711"/>
      <c r="J113" s="63">
        <f t="shared" si="1"/>
        <v>0</v>
      </c>
      <c r="K113" s="50">
        <f t="shared" si="2"/>
        <v>0</v>
      </c>
      <c r="L113" s="55">
        <v>5</v>
      </c>
      <c r="M113" s="56">
        <f t="shared" si="56"/>
        <v>0</v>
      </c>
      <c r="N113" s="688">
        <f>IF(M113="","",M113/100*O5+M113)</f>
        <v>0</v>
      </c>
      <c r="O113" s="689"/>
      <c r="P113" s="58">
        <f t="shared" si="14"/>
        <v>0</v>
      </c>
      <c r="Q113" s="66">
        <f t="shared" si="27"/>
        <v>0</v>
      </c>
      <c r="R113" s="68">
        <f t="shared" si="28"/>
        <v>0</v>
      </c>
      <c r="S113" s="66">
        <f t="shared" si="29"/>
        <v>0</v>
      </c>
      <c r="T113" s="51" t="e">
        <f t="shared" si="5"/>
        <v>#DIV/0!</v>
      </c>
      <c r="U113" s="51" t="e">
        <f t="shared" si="15"/>
        <v>#DIV/0!</v>
      </c>
    </row>
    <row r="114" spans="1:27" s="51" customFormat="1" ht="15" customHeight="1" x14ac:dyDescent="0.25">
      <c r="A114" s="70"/>
      <c r="B114" s="70" t="s">
        <v>160</v>
      </c>
      <c r="C114" s="70"/>
      <c r="D114" s="69" t="s">
        <v>159</v>
      </c>
      <c r="E114" s="53"/>
      <c r="F114" s="201">
        <v>0</v>
      </c>
      <c r="G114" s="202">
        <f t="shared" si="0"/>
        <v>0</v>
      </c>
      <c r="H114" s="709">
        <f>(IF(G114="","",G114*I5))</f>
        <v>0</v>
      </c>
      <c r="I114" s="710"/>
      <c r="J114" s="96">
        <f t="shared" si="1"/>
        <v>0</v>
      </c>
      <c r="K114" s="98">
        <f t="shared" si="2"/>
        <v>0</v>
      </c>
      <c r="L114" s="104">
        <v>100</v>
      </c>
      <c r="M114" s="56">
        <f t="shared" si="56"/>
        <v>0</v>
      </c>
      <c r="N114" s="688">
        <f>IF(M114="","",M114/100*O4+M114)</f>
        <v>0</v>
      </c>
      <c r="O114" s="689"/>
      <c r="P114" s="58">
        <f t="shared" si="14"/>
        <v>0</v>
      </c>
      <c r="Q114" s="66">
        <f t="shared" si="27"/>
        <v>0</v>
      </c>
      <c r="R114" s="68">
        <f t="shared" si="28"/>
        <v>0</v>
      </c>
      <c r="S114" s="66">
        <f t="shared" si="29"/>
        <v>0</v>
      </c>
      <c r="T114" s="51" t="e">
        <f t="shared" si="5"/>
        <v>#DIV/0!</v>
      </c>
      <c r="U114" s="51" t="e">
        <f t="shared" si="15"/>
        <v>#DIV/0!</v>
      </c>
    </row>
    <row r="115" spans="1:27" s="51" customFormat="1" ht="15" customHeight="1" x14ac:dyDescent="0.25">
      <c r="A115" s="70"/>
      <c r="B115" s="70" t="s">
        <v>114</v>
      </c>
      <c r="C115" s="70"/>
      <c r="D115" s="52" t="s">
        <v>46</v>
      </c>
      <c r="E115" s="53"/>
      <c r="F115" s="54">
        <v>0</v>
      </c>
      <c r="G115" s="57">
        <f t="shared" si="0"/>
        <v>0</v>
      </c>
      <c r="H115" s="692">
        <f>(IF(G115="","",G115*I5))</f>
        <v>0</v>
      </c>
      <c r="I115" s="711"/>
      <c r="J115" s="63">
        <f t="shared" si="1"/>
        <v>0</v>
      </c>
      <c r="K115" s="50">
        <f t="shared" si="2"/>
        <v>0</v>
      </c>
      <c r="L115" s="55">
        <v>9.7799999999999994</v>
      </c>
      <c r="M115" s="56">
        <f t="shared" si="56"/>
        <v>0</v>
      </c>
      <c r="N115" s="688">
        <f>IF(M115="","",M115/100*O5+M115)</f>
        <v>0</v>
      </c>
      <c r="O115" s="689"/>
      <c r="P115" s="58">
        <f t="shared" si="14"/>
        <v>0</v>
      </c>
      <c r="Q115" s="66">
        <f t="shared" ref="Q115:Q124" si="57">IF(P115="","",E115*P115)</f>
        <v>0</v>
      </c>
      <c r="R115" s="68">
        <f t="shared" si="28"/>
        <v>0</v>
      </c>
      <c r="S115" s="66">
        <f t="shared" si="29"/>
        <v>0</v>
      </c>
      <c r="T115" s="51" t="e">
        <f t="shared" si="5"/>
        <v>#DIV/0!</v>
      </c>
      <c r="U115" s="51" t="e">
        <f t="shared" si="15"/>
        <v>#DIV/0!</v>
      </c>
    </row>
    <row r="116" spans="1:27" s="51" customFormat="1" ht="15" customHeight="1" x14ac:dyDescent="0.25">
      <c r="A116" s="52"/>
      <c r="B116" s="52"/>
      <c r="C116" s="52"/>
      <c r="D116" s="52" t="s">
        <v>97</v>
      </c>
      <c r="E116" s="217"/>
      <c r="F116" s="54"/>
      <c r="G116" s="57" t="str">
        <f t="shared" si="0"/>
        <v/>
      </c>
      <c r="H116" s="692" t="str">
        <f>(IF(G116="","",G116*I5))</f>
        <v/>
      </c>
      <c r="I116" s="711"/>
      <c r="J116" s="63" t="str">
        <f t="shared" si="1"/>
        <v/>
      </c>
      <c r="K116" s="50" t="str">
        <f t="shared" si="2"/>
        <v/>
      </c>
      <c r="L116" s="55"/>
      <c r="M116" s="56" t="str">
        <f t="shared" si="56"/>
        <v/>
      </c>
      <c r="N116" s="688" t="str">
        <f>IF(M116="","",M116/100*O5+M116)</f>
        <v/>
      </c>
      <c r="O116" s="689"/>
      <c r="P116" s="58" t="str">
        <f t="shared" si="14"/>
        <v/>
      </c>
      <c r="Q116" s="66" t="str">
        <f t="shared" si="57"/>
        <v/>
      </c>
      <c r="R116" s="68" t="str">
        <f t="shared" si="28"/>
        <v/>
      </c>
      <c r="S116" s="66" t="str">
        <f t="shared" si="29"/>
        <v/>
      </c>
      <c r="T116" s="51" t="str">
        <f t="shared" si="5"/>
        <v/>
      </c>
      <c r="U116" s="51" t="str">
        <f t="shared" si="15"/>
        <v/>
      </c>
    </row>
    <row r="117" spans="1:27" s="51" customFormat="1" ht="15" customHeight="1" thickBot="1" x14ac:dyDescent="0.3">
      <c r="A117" s="52"/>
      <c r="B117" s="52"/>
      <c r="C117" s="52"/>
      <c r="D117" s="52" t="s">
        <v>47</v>
      </c>
      <c r="E117" s="53"/>
      <c r="F117" s="54">
        <v>0</v>
      </c>
      <c r="G117" s="57">
        <f t="shared" si="0"/>
        <v>0</v>
      </c>
      <c r="H117" s="692">
        <f>(IF(G117="","",G117*I5))</f>
        <v>0</v>
      </c>
      <c r="I117" s="711"/>
      <c r="J117" s="63">
        <f t="shared" si="1"/>
        <v>0</v>
      </c>
      <c r="K117" s="50">
        <f t="shared" si="2"/>
        <v>0</v>
      </c>
      <c r="L117" s="55">
        <v>1</v>
      </c>
      <c r="M117" s="56">
        <f t="shared" si="56"/>
        <v>0</v>
      </c>
      <c r="N117" s="688">
        <f>IF(M117="","",M117/100*O5+M117)</f>
        <v>0</v>
      </c>
      <c r="O117" s="689"/>
      <c r="P117" s="58">
        <f t="shared" si="14"/>
        <v>0</v>
      </c>
      <c r="Q117" s="66">
        <f t="shared" si="57"/>
        <v>0</v>
      </c>
      <c r="R117" s="68">
        <f t="shared" si="28"/>
        <v>0</v>
      </c>
      <c r="S117" s="66">
        <f t="shared" si="29"/>
        <v>0</v>
      </c>
      <c r="T117" s="51" t="e">
        <f t="shared" si="5"/>
        <v>#DIV/0!</v>
      </c>
      <c r="U117" s="51" t="e">
        <f t="shared" si="15"/>
        <v>#DIV/0!</v>
      </c>
      <c r="W117" s="232" t="s">
        <v>181</v>
      </c>
      <c r="X117" s="245" t="s">
        <v>180</v>
      </c>
      <c r="Y117" s="235"/>
      <c r="Z117" s="233"/>
    </row>
    <row r="118" spans="1:27" s="51" customFormat="1" ht="15" customHeight="1" thickBot="1" x14ac:dyDescent="0.3">
      <c r="A118" s="70"/>
      <c r="B118" s="70" t="s">
        <v>151</v>
      </c>
      <c r="C118" s="70"/>
      <c r="D118" s="74" t="s">
        <v>153</v>
      </c>
      <c r="E118" s="53"/>
      <c r="F118" s="54">
        <v>0.2</v>
      </c>
      <c r="G118" s="47">
        <f>(IF(F118="","",E118*F118))</f>
        <v>0</v>
      </c>
      <c r="H118" s="686">
        <f>(IF(G118="","",G118*I20))</f>
        <v>0</v>
      </c>
      <c r="I118" s="687"/>
      <c r="J118" s="63">
        <f>IF(H118&lt;1,0,T118)</f>
        <v>0</v>
      </c>
      <c r="K118" s="62">
        <f>IF(J118="","",E118*J118)</f>
        <v>0</v>
      </c>
      <c r="L118" s="104">
        <v>38.979999999999997</v>
      </c>
      <c r="M118" s="56">
        <f t="shared" si="56"/>
        <v>0</v>
      </c>
      <c r="N118" s="688">
        <f>IF(M118="","",M118/100*O37+M118)</f>
        <v>0</v>
      </c>
      <c r="O118" s="689"/>
      <c r="P118" s="58">
        <f>IF(N118&lt;1,0,U118)</f>
        <v>0</v>
      </c>
      <c r="Q118" s="66">
        <f>IF(P118="","",E118*P118)</f>
        <v>0</v>
      </c>
      <c r="R118" s="68">
        <f>IF(J118="","",J118+P118)</f>
        <v>0</v>
      </c>
      <c r="S118" s="66">
        <f>IF(R118="","",E118*R118)</f>
        <v>0</v>
      </c>
      <c r="T118" s="51" t="e">
        <f>IF(H118="","",H118/E118)</f>
        <v>#DIV/0!</v>
      </c>
      <c r="U118" s="51" t="e">
        <f>IF(N118="","",N118/E118)</f>
        <v>#DIV/0!</v>
      </c>
      <c r="W118" s="238">
        <f>SUM(S128)</f>
        <v>37045.75</v>
      </c>
      <c r="X118" s="239">
        <f>SUM(W118*0.68)</f>
        <v>25191.11</v>
      </c>
      <c r="Y118" s="236" t="s">
        <v>8</v>
      </c>
      <c r="Z118" s="233"/>
    </row>
    <row r="119" spans="1:27" s="51" customFormat="1" ht="15" customHeight="1" x14ac:dyDescent="0.25">
      <c r="A119" s="181"/>
      <c r="B119" s="182" t="s">
        <v>165</v>
      </c>
      <c r="C119" s="181"/>
      <c r="D119" s="181" t="s">
        <v>48</v>
      </c>
      <c r="E119" s="53"/>
      <c r="F119" s="187"/>
      <c r="G119" s="188" t="str">
        <f t="shared" si="0"/>
        <v/>
      </c>
      <c r="H119" s="724" t="str">
        <f>(IF(G119="","",G119*I5))</f>
        <v/>
      </c>
      <c r="I119" s="725"/>
      <c r="J119" s="189" t="str">
        <f t="shared" si="1"/>
        <v/>
      </c>
      <c r="K119" s="190" t="str">
        <f t="shared" si="2"/>
        <v/>
      </c>
      <c r="L119" s="180">
        <v>0.55000000000000004</v>
      </c>
      <c r="M119" s="56">
        <f t="shared" si="56"/>
        <v>0</v>
      </c>
      <c r="N119" s="688">
        <f>IF(M119="","",M119/100*O7+M119)</f>
        <v>0</v>
      </c>
      <c r="O119" s="689"/>
      <c r="P119" s="58">
        <f t="shared" si="14"/>
        <v>0</v>
      </c>
      <c r="Q119" s="66">
        <f t="shared" si="57"/>
        <v>0</v>
      </c>
      <c r="R119" s="68" t="str">
        <f t="shared" si="28"/>
        <v/>
      </c>
      <c r="S119" s="66" t="str">
        <f t="shared" si="29"/>
        <v/>
      </c>
      <c r="T119" s="51" t="str">
        <f t="shared" si="5"/>
        <v/>
      </c>
      <c r="U119" s="51" t="e">
        <f t="shared" si="15"/>
        <v>#DIV/0!</v>
      </c>
      <c r="W119" s="231">
        <f>SUM(S31:S121)</f>
        <v>30198</v>
      </c>
      <c r="X119" s="244">
        <f t="shared" ref="X119:X120" si="58">SUM(W119*0.68)</f>
        <v>20534.640000000003</v>
      </c>
      <c r="Y119" s="234" t="s">
        <v>183</v>
      </c>
      <c r="Z119" s="233"/>
    </row>
    <row r="120" spans="1:27" s="51" customFormat="1" ht="15" customHeight="1" x14ac:dyDescent="0.25">
      <c r="A120" s="52"/>
      <c r="B120" s="52"/>
      <c r="C120" s="52"/>
      <c r="D120" s="52" t="s">
        <v>152</v>
      </c>
      <c r="E120" s="53"/>
      <c r="F120" s="54">
        <v>0</v>
      </c>
      <c r="G120" s="57">
        <f t="shared" si="0"/>
        <v>0</v>
      </c>
      <c r="H120" s="692">
        <f>(IF(G120="","",G120*I5))</f>
        <v>0</v>
      </c>
      <c r="I120" s="711"/>
      <c r="J120" s="63">
        <f t="shared" si="1"/>
        <v>0</v>
      </c>
      <c r="K120" s="50">
        <f t="shared" si="2"/>
        <v>0</v>
      </c>
      <c r="L120" s="104">
        <v>35.22</v>
      </c>
      <c r="M120" s="56">
        <f t="shared" si="56"/>
        <v>0</v>
      </c>
      <c r="N120" s="688">
        <f>IF(M120="","",M120/100*O7+M120)</f>
        <v>0</v>
      </c>
      <c r="O120" s="689"/>
      <c r="P120" s="58">
        <f t="shared" si="14"/>
        <v>0</v>
      </c>
      <c r="Q120" s="66">
        <f t="shared" si="57"/>
        <v>0</v>
      </c>
      <c r="R120" s="68">
        <f t="shared" si="28"/>
        <v>0</v>
      </c>
      <c r="S120" s="66">
        <f t="shared" si="29"/>
        <v>0</v>
      </c>
      <c r="T120" s="51" t="e">
        <f t="shared" si="5"/>
        <v>#DIV/0!</v>
      </c>
      <c r="U120" s="51" t="e">
        <f t="shared" si="15"/>
        <v>#DIV/0!</v>
      </c>
      <c r="W120" s="231">
        <f>SUM(S122+S123)</f>
        <v>0</v>
      </c>
      <c r="X120" s="244">
        <f t="shared" si="58"/>
        <v>0</v>
      </c>
      <c r="Y120" s="234" t="s">
        <v>184</v>
      </c>
      <c r="Z120" s="233"/>
    </row>
    <row r="121" spans="1:27" s="51" customFormat="1" ht="15" customHeight="1" x14ac:dyDescent="0.25">
      <c r="A121" s="52"/>
      <c r="B121" s="52"/>
      <c r="C121" s="52"/>
      <c r="D121" s="52" t="s">
        <v>178</v>
      </c>
      <c r="E121" s="53"/>
      <c r="F121" s="54">
        <v>0</v>
      </c>
      <c r="G121" s="57">
        <f t="shared" si="0"/>
        <v>0</v>
      </c>
      <c r="H121" s="692">
        <f>(IF(G121="","",G121*I5))</f>
        <v>0</v>
      </c>
      <c r="I121" s="711"/>
      <c r="J121" s="63">
        <f t="shared" si="1"/>
        <v>0</v>
      </c>
      <c r="K121" s="50">
        <f t="shared" si="2"/>
        <v>0</v>
      </c>
      <c r="L121" s="55">
        <v>11</v>
      </c>
      <c r="M121" s="56">
        <f t="shared" si="56"/>
        <v>0</v>
      </c>
      <c r="N121" s="688">
        <f>IF(M121="","",M121/100*O8+M121)</f>
        <v>0</v>
      </c>
      <c r="O121" s="689"/>
      <c r="P121" s="58">
        <f t="shared" si="14"/>
        <v>0</v>
      </c>
      <c r="Q121" s="66">
        <f t="shared" si="57"/>
        <v>0</v>
      </c>
      <c r="R121" s="68">
        <f t="shared" si="28"/>
        <v>0</v>
      </c>
      <c r="S121" s="66">
        <f t="shared" si="29"/>
        <v>0</v>
      </c>
      <c r="T121" s="51" t="e">
        <f t="shared" si="5"/>
        <v>#DIV/0!</v>
      </c>
      <c r="U121" s="51" t="e">
        <f t="shared" si="15"/>
        <v>#DIV/0!</v>
      </c>
      <c r="W121" s="230">
        <f>SUM(W118-W119-W120)</f>
        <v>6847.75</v>
      </c>
      <c r="X121" s="244">
        <f>SUM(W121*0.68)</f>
        <v>4656.47</v>
      </c>
      <c r="Y121" s="234" t="s">
        <v>185</v>
      </c>
      <c r="Z121" s="233"/>
    </row>
    <row r="122" spans="1:27" s="51" customFormat="1" ht="15" customHeight="1" x14ac:dyDescent="0.25">
      <c r="A122" s="52"/>
      <c r="B122" s="52"/>
      <c r="C122" s="52"/>
      <c r="D122" s="52" t="s">
        <v>80</v>
      </c>
      <c r="E122" s="217"/>
      <c r="F122" s="54">
        <v>0</v>
      </c>
      <c r="G122" s="57">
        <f t="shared" si="0"/>
        <v>0</v>
      </c>
      <c r="H122" s="692">
        <f>(IF(G122="","",G122*I5))</f>
        <v>0</v>
      </c>
      <c r="I122" s="711"/>
      <c r="J122" s="63">
        <f t="shared" si="1"/>
        <v>0</v>
      </c>
      <c r="K122" s="50">
        <f t="shared" si="2"/>
        <v>0</v>
      </c>
      <c r="L122" s="55">
        <v>80</v>
      </c>
      <c r="M122" s="56">
        <f t="shared" si="56"/>
        <v>0</v>
      </c>
      <c r="N122" s="688">
        <f>IF(M122="","",M122/100*O7+M122)</f>
        <v>0</v>
      </c>
      <c r="O122" s="689"/>
      <c r="P122" s="58">
        <f t="shared" si="14"/>
        <v>0</v>
      </c>
      <c r="Q122" s="66">
        <f t="shared" si="57"/>
        <v>0</v>
      </c>
      <c r="R122" s="68">
        <f t="shared" si="28"/>
        <v>0</v>
      </c>
      <c r="S122" s="66">
        <f t="shared" si="29"/>
        <v>0</v>
      </c>
      <c r="T122" s="51" t="e">
        <f t="shared" si="5"/>
        <v>#DIV/0!</v>
      </c>
      <c r="U122" s="51" t="e">
        <f t="shared" si="15"/>
        <v>#DIV/0!</v>
      </c>
    </row>
    <row r="123" spans="1:27" s="51" customFormat="1" ht="15" customHeight="1" x14ac:dyDescent="0.25">
      <c r="A123" s="52"/>
      <c r="B123" s="52"/>
      <c r="C123" s="52"/>
      <c r="D123" s="52" t="s">
        <v>42</v>
      </c>
      <c r="E123" s="217"/>
      <c r="F123" s="54">
        <v>0</v>
      </c>
      <c r="G123" s="57">
        <f t="shared" si="0"/>
        <v>0</v>
      </c>
      <c r="H123" s="692">
        <f>(IF(G123="","",G123*I6))</f>
        <v>0</v>
      </c>
      <c r="I123" s="711"/>
      <c r="J123" s="63">
        <f t="shared" si="1"/>
        <v>0</v>
      </c>
      <c r="K123" s="50">
        <f t="shared" si="2"/>
        <v>0</v>
      </c>
      <c r="L123" s="55">
        <v>350</v>
      </c>
      <c r="M123" s="56">
        <f t="shared" si="56"/>
        <v>0</v>
      </c>
      <c r="N123" s="688">
        <f>IF(M123="","",M123/100*O8+M123)</f>
        <v>0</v>
      </c>
      <c r="O123" s="689"/>
      <c r="P123" s="58">
        <f t="shared" si="14"/>
        <v>0</v>
      </c>
      <c r="Q123" s="66">
        <f t="shared" si="57"/>
        <v>0</v>
      </c>
      <c r="R123" s="68">
        <f t="shared" si="28"/>
        <v>0</v>
      </c>
      <c r="S123" s="66">
        <f t="shared" si="29"/>
        <v>0</v>
      </c>
      <c r="T123" s="51" t="e">
        <f t="shared" si="5"/>
        <v>#DIV/0!</v>
      </c>
      <c r="U123" s="51" t="e">
        <f t="shared" si="15"/>
        <v>#DIV/0!</v>
      </c>
    </row>
    <row r="124" spans="1:27" s="51" customFormat="1" ht="15" customHeight="1" x14ac:dyDescent="0.25">
      <c r="A124" s="52"/>
      <c r="B124" s="52"/>
      <c r="C124" s="52"/>
      <c r="D124" s="52"/>
      <c r="E124" s="217"/>
      <c r="F124" s="54">
        <v>0</v>
      </c>
      <c r="G124" s="57">
        <f t="shared" si="0"/>
        <v>0</v>
      </c>
      <c r="H124" s="692">
        <f>(IF(G124="","",G124*I5))</f>
        <v>0</v>
      </c>
      <c r="I124" s="711"/>
      <c r="J124" s="63">
        <f t="shared" si="1"/>
        <v>0</v>
      </c>
      <c r="K124" s="50">
        <f t="shared" si="2"/>
        <v>0</v>
      </c>
      <c r="L124" s="55">
        <v>0</v>
      </c>
      <c r="M124" s="56">
        <f t="shared" si="56"/>
        <v>0</v>
      </c>
      <c r="N124" s="688">
        <f>IF(M124="","",M124/100*O5+M124)</f>
        <v>0</v>
      </c>
      <c r="O124" s="689"/>
      <c r="P124" s="58">
        <f t="shared" si="14"/>
        <v>0</v>
      </c>
      <c r="Q124" s="66">
        <f t="shared" si="57"/>
        <v>0</v>
      </c>
      <c r="R124" s="68">
        <f t="shared" si="28"/>
        <v>0</v>
      </c>
      <c r="S124" s="66">
        <f t="shared" si="29"/>
        <v>0</v>
      </c>
      <c r="T124" s="51" t="e">
        <f t="shared" si="5"/>
        <v>#DIV/0!</v>
      </c>
      <c r="U124" s="51" t="e">
        <f t="shared" si="15"/>
        <v>#DIV/0!</v>
      </c>
      <c r="W124" s="186" t="s">
        <v>158</v>
      </c>
      <c r="AA124" s="126"/>
    </row>
    <row r="125" spans="1:27" x14ac:dyDescent="0.25">
      <c r="G125" s="727" t="s">
        <v>30</v>
      </c>
      <c r="H125" s="727"/>
      <c r="I125" s="727"/>
      <c r="M125" s="727" t="s">
        <v>31</v>
      </c>
      <c r="N125" s="727"/>
      <c r="O125" s="727"/>
      <c r="S125" s="39" t="s">
        <v>148</v>
      </c>
      <c r="AA125" s="127"/>
    </row>
    <row r="126" spans="1:27" x14ac:dyDescent="0.25">
      <c r="G126" s="39" t="s">
        <v>8</v>
      </c>
      <c r="H126" s="728" t="s">
        <v>32</v>
      </c>
      <c r="I126" s="728"/>
      <c r="M126" s="39" t="s">
        <v>8</v>
      </c>
      <c r="N126" s="728" t="s">
        <v>32</v>
      </c>
      <c r="O126" s="728"/>
      <c r="S126" s="179" t="s">
        <v>149</v>
      </c>
      <c r="W126" s="242" t="s">
        <v>150</v>
      </c>
    </row>
    <row r="127" spans="1:27" x14ac:dyDescent="0.25">
      <c r="H127" s="729"/>
      <c r="I127" s="729"/>
      <c r="N127" s="729"/>
      <c r="O127" s="729"/>
      <c r="W127" s="243"/>
    </row>
    <row r="128" spans="1:27" s="2" customFormat="1" ht="13.8" thickBot="1" x14ac:dyDescent="0.3">
      <c r="A128" s="3"/>
      <c r="B128" s="3"/>
      <c r="C128" s="3"/>
      <c r="D128" s="12" t="s">
        <v>29</v>
      </c>
      <c r="E128" s="3"/>
      <c r="F128" s="3"/>
      <c r="G128" s="13">
        <f>SUM(G9:G124)</f>
        <v>369.25</v>
      </c>
      <c r="H128" s="726">
        <f>SUM(H9:I124)</f>
        <v>15877.75</v>
      </c>
      <c r="I128" s="726"/>
      <c r="J128" s="3"/>
      <c r="K128" s="3"/>
      <c r="L128" s="3"/>
      <c r="M128" s="13">
        <f>SUM(M9:M124)</f>
        <v>21168</v>
      </c>
      <c r="N128" s="726">
        <f>SUM(N9:O124)</f>
        <v>21168</v>
      </c>
      <c r="O128" s="726"/>
      <c r="P128" s="3"/>
      <c r="Q128" s="3"/>
      <c r="R128" s="3"/>
      <c r="S128" s="237">
        <f>SUM(H128+N128)</f>
        <v>37045.75</v>
      </c>
      <c r="W128" s="241">
        <f>SUM(S128*0.68)</f>
        <v>25191.11</v>
      </c>
    </row>
    <row r="129" spans="5:24" ht="13.8" thickTop="1" x14ac:dyDescent="0.25"/>
    <row r="130" spans="5:24" x14ac:dyDescent="0.25">
      <c r="E130" s="192" t="s">
        <v>164</v>
      </c>
      <c r="F130" s="193"/>
      <c r="G130" s="194">
        <f>SUM(G128/7.5)</f>
        <v>49.233333333333334</v>
      </c>
      <c r="H130" s="194"/>
      <c r="I130" s="195" t="s">
        <v>67</v>
      </c>
    </row>
    <row r="131" spans="5:24" ht="17.399999999999999" x14ac:dyDescent="0.3">
      <c r="E131" s="196"/>
      <c r="G131" s="3"/>
      <c r="H131" s="3"/>
      <c r="I131" s="197"/>
      <c r="S131" s="71" t="s">
        <v>68</v>
      </c>
      <c r="V131" s="72" t="s">
        <v>69</v>
      </c>
      <c r="W131" s="72"/>
    </row>
    <row r="132" spans="5:24" x14ac:dyDescent="0.25">
      <c r="E132" s="196"/>
      <c r="G132" s="3">
        <f>SUM(G130/5)</f>
        <v>9.8466666666666676</v>
      </c>
      <c r="H132" s="3"/>
      <c r="I132" s="198" t="s">
        <v>66</v>
      </c>
      <c r="S132" s="73">
        <f>SUM(S128)</f>
        <v>37045.75</v>
      </c>
      <c r="T132" s="1"/>
      <c r="U132" s="1"/>
      <c r="V132" s="1">
        <f>SUM(X28)</f>
        <v>298</v>
      </c>
      <c r="W132" s="1"/>
    </row>
    <row r="133" spans="5:24" x14ac:dyDescent="0.25">
      <c r="E133" s="199"/>
      <c r="F133" s="19"/>
      <c r="G133" s="19"/>
      <c r="H133" s="19"/>
      <c r="I133" s="200"/>
    </row>
    <row r="135" spans="5:24" x14ac:dyDescent="0.25">
      <c r="S135" s="73"/>
      <c r="T135" s="1"/>
      <c r="U135" s="1"/>
      <c r="V135" s="1"/>
      <c r="W135" s="1"/>
      <c r="X135" s="1"/>
    </row>
  </sheetData>
  <mergeCells count="245">
    <mergeCell ref="H128:I128"/>
    <mergeCell ref="N128:O128"/>
    <mergeCell ref="G125:I125"/>
    <mergeCell ref="M125:O125"/>
    <mergeCell ref="H126:I126"/>
    <mergeCell ref="N126:O126"/>
    <mergeCell ref="H127:I127"/>
    <mergeCell ref="N127:O127"/>
    <mergeCell ref="H122:I122"/>
    <mergeCell ref="N122:O122"/>
    <mergeCell ref="H123:I123"/>
    <mergeCell ref="N123:O123"/>
    <mergeCell ref="H124:I124"/>
    <mergeCell ref="N124:O124"/>
    <mergeCell ref="H119:I119"/>
    <mergeCell ref="N119:O119"/>
    <mergeCell ref="H120:I120"/>
    <mergeCell ref="N120:O120"/>
    <mergeCell ref="H121:I121"/>
    <mergeCell ref="N121:O121"/>
    <mergeCell ref="H116:I116"/>
    <mergeCell ref="N116:O116"/>
    <mergeCell ref="H117:I117"/>
    <mergeCell ref="N117:O117"/>
    <mergeCell ref="H118:I118"/>
    <mergeCell ref="N118:O118"/>
    <mergeCell ref="H113:I113"/>
    <mergeCell ref="N113:O113"/>
    <mergeCell ref="H114:I114"/>
    <mergeCell ref="N114:O114"/>
    <mergeCell ref="H115:I115"/>
    <mergeCell ref="N115:O115"/>
    <mergeCell ref="H110:I110"/>
    <mergeCell ref="N110:O110"/>
    <mergeCell ref="H111:I111"/>
    <mergeCell ref="N111:O111"/>
    <mergeCell ref="H112:I112"/>
    <mergeCell ref="N112:O112"/>
    <mergeCell ref="H107:I107"/>
    <mergeCell ref="N107:O107"/>
    <mergeCell ref="H108:I108"/>
    <mergeCell ref="N108:O108"/>
    <mergeCell ref="H109:I109"/>
    <mergeCell ref="N109:O109"/>
    <mergeCell ref="H104:I104"/>
    <mergeCell ref="N104:O104"/>
    <mergeCell ref="H105:I105"/>
    <mergeCell ref="N105:O105"/>
    <mergeCell ref="H106:I106"/>
    <mergeCell ref="N106:O106"/>
    <mergeCell ref="H101:I101"/>
    <mergeCell ref="N101:O101"/>
    <mergeCell ref="H102:I102"/>
    <mergeCell ref="N102:O102"/>
    <mergeCell ref="H103:I103"/>
    <mergeCell ref="N103:O103"/>
    <mergeCell ref="H98:I98"/>
    <mergeCell ref="N98:O98"/>
    <mergeCell ref="H99:I99"/>
    <mergeCell ref="N99:O99"/>
    <mergeCell ref="H100:I100"/>
    <mergeCell ref="N100:O100"/>
    <mergeCell ref="H95:I95"/>
    <mergeCell ref="N95:O95"/>
    <mergeCell ref="H96:I96"/>
    <mergeCell ref="N96:O96"/>
    <mergeCell ref="H97:I97"/>
    <mergeCell ref="N97:O97"/>
    <mergeCell ref="H92:I92"/>
    <mergeCell ref="N92:O92"/>
    <mergeCell ref="H93:I93"/>
    <mergeCell ref="N93:O93"/>
    <mergeCell ref="H94:I94"/>
    <mergeCell ref="N94:O94"/>
    <mergeCell ref="H89:I89"/>
    <mergeCell ref="N89:O89"/>
    <mergeCell ref="H90:I90"/>
    <mergeCell ref="N90:O90"/>
    <mergeCell ref="H91:I91"/>
    <mergeCell ref="N91:O91"/>
    <mergeCell ref="H86:I86"/>
    <mergeCell ref="N86:O86"/>
    <mergeCell ref="H87:I87"/>
    <mergeCell ref="N87:O87"/>
    <mergeCell ref="H88:I88"/>
    <mergeCell ref="N88:O88"/>
    <mergeCell ref="H83:I83"/>
    <mergeCell ref="N83:O83"/>
    <mergeCell ref="H84:I84"/>
    <mergeCell ref="N84:O84"/>
    <mergeCell ref="H85:I85"/>
    <mergeCell ref="N85:O85"/>
    <mergeCell ref="H80:I80"/>
    <mergeCell ref="N80:O80"/>
    <mergeCell ref="H81:I81"/>
    <mergeCell ref="N81:O81"/>
    <mergeCell ref="H82:I82"/>
    <mergeCell ref="N82:O82"/>
    <mergeCell ref="H77:I77"/>
    <mergeCell ref="N77:O77"/>
    <mergeCell ref="H78:I78"/>
    <mergeCell ref="N78:O78"/>
    <mergeCell ref="H79:I79"/>
    <mergeCell ref="N79:O79"/>
    <mergeCell ref="H74:I74"/>
    <mergeCell ref="N74:O74"/>
    <mergeCell ref="H75:I75"/>
    <mergeCell ref="N75:O75"/>
    <mergeCell ref="H76:I76"/>
    <mergeCell ref="N76:O76"/>
    <mergeCell ref="H71:I71"/>
    <mergeCell ref="N71:O71"/>
    <mergeCell ref="H72:I72"/>
    <mergeCell ref="N72:O72"/>
    <mergeCell ref="H73:I73"/>
    <mergeCell ref="N73:O73"/>
    <mergeCell ref="H68:I68"/>
    <mergeCell ref="N68:O68"/>
    <mergeCell ref="H69:I69"/>
    <mergeCell ref="N69:O69"/>
    <mergeCell ref="H70:I70"/>
    <mergeCell ref="N70:O70"/>
    <mergeCell ref="H65:I65"/>
    <mergeCell ref="N65:O65"/>
    <mergeCell ref="H66:I66"/>
    <mergeCell ref="N66:O66"/>
    <mergeCell ref="H67:I67"/>
    <mergeCell ref="N67:O67"/>
    <mergeCell ref="H62:I62"/>
    <mergeCell ref="N62:O62"/>
    <mergeCell ref="H63:I63"/>
    <mergeCell ref="N63:O63"/>
    <mergeCell ref="H64:I64"/>
    <mergeCell ref="N64:O64"/>
    <mergeCell ref="H59:I59"/>
    <mergeCell ref="N59:O59"/>
    <mergeCell ref="H60:I60"/>
    <mergeCell ref="N60:O60"/>
    <mergeCell ref="H61:I61"/>
    <mergeCell ref="N61:O61"/>
    <mergeCell ref="H56:I56"/>
    <mergeCell ref="N56:O56"/>
    <mergeCell ref="H57:I57"/>
    <mergeCell ref="N57:O57"/>
    <mergeCell ref="H58:I58"/>
    <mergeCell ref="N58:O58"/>
    <mergeCell ref="H53:I53"/>
    <mergeCell ref="N53:O53"/>
    <mergeCell ref="H54:I54"/>
    <mergeCell ref="N54:O54"/>
    <mergeCell ref="H55:I55"/>
    <mergeCell ref="N55:O55"/>
    <mergeCell ref="H50:I50"/>
    <mergeCell ref="N50:O50"/>
    <mergeCell ref="H51:I51"/>
    <mergeCell ref="N51:O51"/>
    <mergeCell ref="H52:I52"/>
    <mergeCell ref="N52:O52"/>
    <mergeCell ref="H46:I46"/>
    <mergeCell ref="N46:O46"/>
    <mergeCell ref="H47:I47"/>
    <mergeCell ref="N47:O47"/>
    <mergeCell ref="H48:I48"/>
    <mergeCell ref="N48:O48"/>
    <mergeCell ref="H41:I41"/>
    <mergeCell ref="N41:O41"/>
    <mergeCell ref="H42:I42"/>
    <mergeCell ref="N42:O42"/>
    <mergeCell ref="H43:I43"/>
    <mergeCell ref="N43:O43"/>
    <mergeCell ref="H38:I38"/>
    <mergeCell ref="N38:O38"/>
    <mergeCell ref="H39:I39"/>
    <mergeCell ref="N39:O39"/>
    <mergeCell ref="H40:I40"/>
    <mergeCell ref="N40:O40"/>
    <mergeCell ref="X34:Z34"/>
    <mergeCell ref="H35:I35"/>
    <mergeCell ref="N35:O35"/>
    <mergeCell ref="W36:Z36"/>
    <mergeCell ref="H37:I37"/>
    <mergeCell ref="N37:O37"/>
    <mergeCell ref="H32:I32"/>
    <mergeCell ref="N32:O32"/>
    <mergeCell ref="H33:I33"/>
    <mergeCell ref="N33:O33"/>
    <mergeCell ref="H34:I34"/>
    <mergeCell ref="N34:O34"/>
    <mergeCell ref="H29:I29"/>
    <mergeCell ref="N29:O29"/>
    <mergeCell ref="H30:I30"/>
    <mergeCell ref="N30:O30"/>
    <mergeCell ref="H31:I31"/>
    <mergeCell ref="N31:O31"/>
    <mergeCell ref="H24:I24"/>
    <mergeCell ref="N24:O24"/>
    <mergeCell ref="W24:AA24"/>
    <mergeCell ref="H26:I26"/>
    <mergeCell ref="N26:O26"/>
    <mergeCell ref="H27:I27"/>
    <mergeCell ref="N27:O27"/>
    <mergeCell ref="H20:I20"/>
    <mergeCell ref="N20:O20"/>
    <mergeCell ref="H21:I21"/>
    <mergeCell ref="N21:O21"/>
    <mergeCell ref="H22:I22"/>
    <mergeCell ref="N22:O22"/>
    <mergeCell ref="H17:I17"/>
    <mergeCell ref="N17:O17"/>
    <mergeCell ref="W17:AA17"/>
    <mergeCell ref="H18:I18"/>
    <mergeCell ref="N18:O18"/>
    <mergeCell ref="H19:I19"/>
    <mergeCell ref="N19:O19"/>
    <mergeCell ref="H14:I14"/>
    <mergeCell ref="N14:O14"/>
    <mergeCell ref="H15:I15"/>
    <mergeCell ref="N15:O15"/>
    <mergeCell ref="H16:I16"/>
    <mergeCell ref="N16:O16"/>
    <mergeCell ref="H11:I11"/>
    <mergeCell ref="N11:O11"/>
    <mergeCell ref="H12:I12"/>
    <mergeCell ref="N12:O12"/>
    <mergeCell ref="H13:I13"/>
    <mergeCell ref="N13:O13"/>
    <mergeCell ref="H8:I8"/>
    <mergeCell ref="N8:O8"/>
    <mergeCell ref="H9:I9"/>
    <mergeCell ref="N9:O9"/>
    <mergeCell ref="H10:I10"/>
    <mergeCell ref="N10:O10"/>
    <mergeCell ref="J5:K5"/>
    <mergeCell ref="P5:Q5"/>
    <mergeCell ref="R5:S5"/>
    <mergeCell ref="H6:I6"/>
    <mergeCell ref="N6:O6"/>
    <mergeCell ref="H7:I7"/>
    <mergeCell ref="N7:O7"/>
    <mergeCell ref="I1:J1"/>
    <mergeCell ref="F4:I4"/>
    <mergeCell ref="J4:K4"/>
    <mergeCell ref="L4:O4"/>
    <mergeCell ref="P4:Q4"/>
    <mergeCell ref="R4:S4"/>
  </mergeCells>
  <printOptions horizontalCentered="1"/>
  <pageMargins left="3.937007874015748E-2" right="3.937007874015748E-2" top="0.31496062992125984" bottom="3.937007874015748E-2" header="0.51181102362204722" footer="0.51181102362204722"/>
  <pageSetup paperSize="9" scale="2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A01A-5C81-46BC-8BE7-E191930119BB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2C355-68E1-4143-9C5F-AE7E06B240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 1.INSTALL FIRE </vt:lpstr>
      <vt:lpstr> 2.INSTALL FIRE  </vt:lpstr>
      <vt:lpstr>Sheet1</vt:lpstr>
      <vt:lpstr>' 1.INSTALL FIRE '!Print_Area</vt:lpstr>
    </vt:vector>
  </TitlesOfParts>
  <Company>Cormeton Electronics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InstallEstimateEPC</dc:title>
  <dc:subject>Install Estimate EPC</dc:subject>
  <dc:creator>Steve Milbourne</dc:creator>
  <cp:lastModifiedBy>Steve Rush</cp:lastModifiedBy>
  <cp:lastPrinted>2024-06-05T14:21:34Z</cp:lastPrinted>
  <dcterms:created xsi:type="dcterms:W3CDTF">2004-11-16T10:11:27Z</dcterms:created>
  <dcterms:modified xsi:type="dcterms:W3CDTF">2026-07-07T21:45:44Z</dcterms:modified>
  <cp:category>Project Department</cp:category>
</cp:coreProperties>
</file>