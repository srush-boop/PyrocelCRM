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srush.CORM\Desktop\"/>
    </mc:Choice>
  </mc:AlternateContent>
  <xr:revisionPtr revIDLastSave="0" documentId="8_{10F86360-4BE4-487C-9A40-D833B420D6E8}" xr6:coauthVersionLast="47" xr6:coauthVersionMax="47" xr10:uidLastSave="{00000000-0000-0000-0000-000000000000}"/>
  <bookViews>
    <workbookView xWindow="-108" yWindow="-108" windowWidth="23256" windowHeight="12456" xr2:uid="{00000000-000D-0000-FFFF-FFFF00000000}"/>
  </bookViews>
  <sheets>
    <sheet name="OVERVIEW" sheetId="4" r:id="rId1"/>
    <sheet name="FIRE &amp; LIGHTS" sheetId="1" r:id="rId2"/>
    <sheet name="INTRUDER" sheetId="3" r:id="rId3"/>
    <sheet name="CCTV" sheetId="2" r:id="rId4"/>
    <sheet name="ACCESS" sheetId="5" r:id="rId5"/>
    <sheet name="DAMPERS" sheetId="6" r:id="rId6"/>
    <sheet name="MONITORING" sheetId="7" r:id="rId7"/>
  </sheets>
  <definedNames>
    <definedName name="_xlnm.Print_Area" localSheetId="1">'FIRE &amp; LIGHTS'!$A$6:$V$7</definedName>
    <definedName name="_xlnm.Print_Area" localSheetId="2">INTRUDER!$A$6:$T$7</definedName>
    <definedName name="_xlnm.Print_Titles" localSheetId="1">'FIRE &amp; LIGHTS'!$6:$7</definedName>
    <definedName name="_xlnm.Print_Titles" localSheetId="2">INTRUDER!$6:$7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6" l="1"/>
  <c r="G20" i="6"/>
  <c r="G24" i="6" s="1"/>
  <c r="C10" i="6"/>
  <c r="P3" i="6"/>
  <c r="D10" i="6" s="1"/>
  <c r="P2" i="6"/>
  <c r="S2" i="6" s="1"/>
  <c r="K7" i="4"/>
  <c r="S3" i="6" l="1"/>
  <c r="U30" i="1"/>
  <c r="H9" i="7" l="1"/>
  <c r="H8" i="7"/>
  <c r="I6" i="7"/>
  <c r="K20" i="4" l="1"/>
  <c r="T11" i="7"/>
  <c r="T5" i="7"/>
  <c r="T6" i="7"/>
  <c r="P9" i="7"/>
  <c r="O9" i="7"/>
  <c r="N9" i="7"/>
  <c r="M9" i="7"/>
  <c r="L9" i="7"/>
  <c r="K9" i="7"/>
  <c r="J9" i="7"/>
  <c r="I9" i="7"/>
  <c r="G9" i="7"/>
  <c r="F9" i="7"/>
  <c r="E9" i="7"/>
  <c r="D9" i="7"/>
  <c r="P8" i="7"/>
  <c r="O8" i="7"/>
  <c r="N8" i="7"/>
  <c r="M8" i="7"/>
  <c r="L8" i="7"/>
  <c r="K8" i="7"/>
  <c r="J8" i="7"/>
  <c r="I8" i="7"/>
  <c r="G8" i="7"/>
  <c r="F8" i="7"/>
  <c r="E8" i="7"/>
  <c r="D8" i="7"/>
  <c r="P6" i="7"/>
  <c r="O6" i="7"/>
  <c r="N6" i="7"/>
  <c r="M6" i="7"/>
  <c r="L6" i="7"/>
  <c r="K6" i="7"/>
  <c r="J6" i="7"/>
  <c r="H6" i="7"/>
  <c r="G6" i="7"/>
  <c r="F6" i="7"/>
  <c r="E6" i="7"/>
  <c r="D6" i="7"/>
  <c r="P5" i="7"/>
  <c r="O5" i="7"/>
  <c r="N5" i="7"/>
  <c r="M5" i="7"/>
  <c r="L5" i="7"/>
  <c r="K5" i="7"/>
  <c r="J5" i="7"/>
  <c r="I5" i="7"/>
  <c r="H5" i="7"/>
  <c r="G5" i="7"/>
  <c r="F5" i="7"/>
  <c r="E5" i="7"/>
  <c r="D5" i="7"/>
  <c r="A4" i="7"/>
  <c r="B4" i="7"/>
  <c r="D20" i="4" l="1"/>
  <c r="E20" i="4" s="1"/>
  <c r="Q9" i="7"/>
  <c r="K19" i="4" s="1"/>
  <c r="Q8" i="7"/>
  <c r="Q6" i="7"/>
  <c r="Q5" i="7"/>
  <c r="Q4" i="7" s="1"/>
  <c r="O23" i="2"/>
  <c r="P9" i="2" s="1"/>
  <c r="V3" i="7" l="1"/>
  <c r="K18" i="4"/>
  <c r="Q7" i="7"/>
  <c r="T7" i="7" s="1"/>
  <c r="D19" i="4" s="1"/>
  <c r="E19" i="4" s="1"/>
  <c r="T4" i="7"/>
  <c r="S9" i="7"/>
  <c r="R9" i="7"/>
  <c r="O11" i="1"/>
  <c r="M11" i="1"/>
  <c r="Y3" i="7" l="1"/>
  <c r="D18" i="4"/>
  <c r="E18" i="4" s="1"/>
  <c r="G22" i="4"/>
  <c r="S12" i="7"/>
  <c r="Q11" i="2"/>
  <c r="P12" i="2"/>
  <c r="H18" i="4" l="1"/>
  <c r="H15" i="4"/>
  <c r="G17" i="4" s="1"/>
  <c r="H14" i="4"/>
  <c r="H13" i="4"/>
  <c r="H12" i="4"/>
  <c r="H11" i="4"/>
  <c r="H9" i="4"/>
  <c r="H6" i="4"/>
  <c r="H7" i="4"/>
  <c r="H8" i="4"/>
  <c r="H5" i="4"/>
  <c r="J8" i="6" l="1"/>
  <c r="K8" i="5"/>
  <c r="S8" i="2"/>
  <c r="V7" i="3"/>
  <c r="W7" i="1"/>
  <c r="A8" i="1" l="1"/>
  <c r="B8" i="1"/>
  <c r="H26" i="4" l="1"/>
  <c r="H27" i="4"/>
  <c r="H28" i="4"/>
  <c r="H29" i="4"/>
  <c r="H23" i="4"/>
  <c r="E24" i="4"/>
  <c r="H24" i="4" s="1"/>
  <c r="D30" i="4" l="1"/>
  <c r="E25" i="4"/>
  <c r="H25" i="4" s="1"/>
  <c r="E26" i="4"/>
  <c r="E27" i="4"/>
  <c r="E28" i="4"/>
  <c r="E29" i="4"/>
  <c r="G4" i="4"/>
  <c r="C15" i="4"/>
  <c r="A9" i="6"/>
  <c r="A9" i="5"/>
  <c r="A9" i="2"/>
  <c r="A8" i="3"/>
  <c r="B9" i="6"/>
  <c r="B9" i="5"/>
  <c r="B9" i="2"/>
  <c r="B8" i="3"/>
  <c r="G11" i="6"/>
  <c r="C4" i="6"/>
  <c r="B4" i="6"/>
  <c r="A4" i="6"/>
  <c r="E9" i="6" s="1"/>
  <c r="C14" i="4"/>
  <c r="F9" i="5"/>
  <c r="C4" i="5"/>
  <c r="B4" i="5"/>
  <c r="A4" i="5"/>
  <c r="B12" i="4"/>
  <c r="C9" i="4"/>
  <c r="C11" i="4"/>
  <c r="N9" i="2"/>
  <c r="C13" i="4"/>
  <c r="C12" i="4"/>
  <c r="U1" i="1"/>
  <c r="U8" i="1" s="1"/>
  <c r="C4" i="2"/>
  <c r="B4" i="2"/>
  <c r="A4" i="2"/>
  <c r="U28" i="1" l="1"/>
  <c r="G11" i="5"/>
  <c r="H12" i="5" s="1"/>
  <c r="I9" i="5" s="1"/>
  <c r="D14" i="4" s="1"/>
  <c r="E14" i="4" s="1"/>
  <c r="E30" i="4"/>
  <c r="H30" i="4" s="1"/>
  <c r="F11" i="6"/>
  <c r="G12" i="6" s="1"/>
  <c r="H9" i="6" s="1"/>
  <c r="D15" i="4" s="1"/>
  <c r="E15" i="4" s="1"/>
  <c r="O12" i="2"/>
  <c r="P13" i="2" s="1"/>
  <c r="Q9" i="2" l="1"/>
  <c r="D13" i="4" s="1"/>
  <c r="E13" i="4" s="1"/>
  <c r="D11" i="4"/>
  <c r="E11" i="4" s="1"/>
  <c r="U26" i="1"/>
  <c r="D9" i="4" s="1"/>
  <c r="E9" i="4" s="1"/>
  <c r="C4" i="1"/>
  <c r="C4" i="3"/>
  <c r="B4" i="3"/>
  <c r="A4" i="3"/>
  <c r="Q8" i="3" s="1"/>
  <c r="B4" i="1"/>
  <c r="A4" i="1"/>
  <c r="Q9" i="1" l="1"/>
  <c r="Q10" i="1"/>
  <c r="D10" i="4"/>
  <c r="E10" i="4" s="1"/>
  <c r="R10" i="3"/>
  <c r="S10" i="3"/>
  <c r="Q11" i="1" l="1"/>
  <c r="Q8" i="1" s="1"/>
  <c r="R11" i="1"/>
  <c r="R8" i="1" s="1"/>
  <c r="U22" i="1" s="1"/>
  <c r="D6" i="4" s="1"/>
  <c r="S11" i="3"/>
  <c r="T8" i="3" s="1"/>
  <c r="D12" i="4" s="1"/>
  <c r="E12" i="4" s="1"/>
  <c r="S10" i="1" l="1"/>
  <c r="U21" i="1"/>
  <c r="D5" i="4" s="1"/>
  <c r="E5" i="4" s="1"/>
  <c r="S8" i="1" l="1"/>
  <c r="T10" i="1"/>
  <c r="T8" i="1" s="1"/>
  <c r="U24" i="1" s="1"/>
  <c r="D8" i="4" s="1"/>
  <c r="U23" i="1" l="1"/>
  <c r="E6" i="4"/>
  <c r="E8" i="4"/>
  <c r="D7" i="4" l="1"/>
  <c r="E7" i="4" s="1"/>
  <c r="E32" i="4" s="1"/>
</calcChain>
</file>

<file path=xl/sharedStrings.xml><?xml version="1.0" encoding="utf-8"?>
<sst xmlns="http://schemas.openxmlformats.org/spreadsheetml/2006/main" count="305" uniqueCount="208">
  <si>
    <t>Site ID</t>
  </si>
  <si>
    <t>Site Name</t>
  </si>
  <si>
    <t>Control Panel</t>
  </si>
  <si>
    <t>Sounders</t>
  </si>
  <si>
    <t>Network</t>
  </si>
  <si>
    <t>Repeater</t>
  </si>
  <si>
    <t>Power Supply Units</t>
  </si>
  <si>
    <t>Manual Call Points</t>
  </si>
  <si>
    <t>Smoke Detectors</t>
  </si>
  <si>
    <t>Heat Detectors</t>
  </si>
  <si>
    <t>Beams</t>
  </si>
  <si>
    <t>Remote Signalling</t>
  </si>
  <si>
    <t>Emergency Lights</t>
  </si>
  <si>
    <t>Luminaires</t>
  </si>
  <si>
    <t>Travel</t>
  </si>
  <si>
    <t>Visits</t>
  </si>
  <si>
    <t>Central Battery Unit</t>
  </si>
  <si>
    <t>Weekly Test Price per Visit</t>
  </si>
  <si>
    <t>Monthly Lights Price per Visit</t>
  </si>
  <si>
    <t>NOTES:</t>
  </si>
  <si>
    <t>Remote Keypad</t>
  </si>
  <si>
    <t>Roller Shutter Contact</t>
  </si>
  <si>
    <t>Audio Microphones</t>
  </si>
  <si>
    <t>Audio Verification C/U</t>
  </si>
  <si>
    <t>Door Contact</t>
  </si>
  <si>
    <t>PIR/Dual Tec</t>
  </si>
  <si>
    <t>Vibration Unit</t>
  </si>
  <si>
    <t>BGU</t>
  </si>
  <si>
    <t>Personal Attack Button</t>
  </si>
  <si>
    <t>Standard Annual Intruder Maintenance Fee</t>
  </si>
  <si>
    <t>TOTAL TO QUOTE:</t>
  </si>
  <si>
    <t>Platinum Contract ENTER "1" Below if REQ'D</t>
  </si>
  <si>
    <t>Out of Hours Working Required ENTER "1" Below if REQ'D</t>
  </si>
  <si>
    <t>INTRUDER ALARM MAINTENANCE CALCULATOR</t>
  </si>
  <si>
    <t>FIRE ALARM &amp; EMERGENCY LIGHTING MAINTENANCE CALCULATOR</t>
  </si>
  <si>
    <t>Weekly Fire Testing -  No of Visits</t>
  </si>
  <si>
    <t>Monthly Lights - No of Visits</t>
  </si>
  <si>
    <t>Enter "52" if required,  "0" if not required</t>
  </si>
  <si>
    <t>COMP</t>
  </si>
  <si>
    <t>Fire Alarm
2 Visits
STANDARD</t>
  </si>
  <si>
    <t>Fire Alarm
2 Visits
COMPREHENSIVE</t>
  </si>
  <si>
    <t>Fire Alarm
4 Visits
STANDARD</t>
  </si>
  <si>
    <t>Fire Alarm
4 Visits
COMPREHENSIVE</t>
  </si>
  <si>
    <t>SLR</t>
  </si>
  <si>
    <r>
      <rPr>
        <b/>
        <sz val="10"/>
        <rFont val="Calibri"/>
        <family val="2"/>
        <scheme val="minor"/>
      </rPr>
      <t>MIN</t>
    </r>
    <r>
      <rPr>
        <sz val="10"/>
        <rFont val="Calibri"/>
        <family val="2"/>
        <scheme val="minor"/>
      </rPr>
      <t xml:space="preserve"> Fire Price</t>
    </r>
  </si>
  <si>
    <t>SUMMARY</t>
  </si>
  <si>
    <t xml:space="preserve">Fire Alarm </t>
  </si>
  <si>
    <t>Standard</t>
  </si>
  <si>
    <t>2 Visits</t>
  </si>
  <si>
    <t>Comprehensive</t>
  </si>
  <si>
    <t>4 Visits</t>
  </si>
  <si>
    <t>Weekly Testing</t>
  </si>
  <si>
    <t>52 Visits</t>
  </si>
  <si>
    <t>Monthly Testing</t>
  </si>
  <si>
    <t>System</t>
  </si>
  <si>
    <t>Service</t>
  </si>
  <si>
    <t>No of Visits</t>
  </si>
  <si>
    <t>Price</t>
  </si>
  <si>
    <t>MinPrice</t>
  </si>
  <si>
    <t>Total to Quote</t>
  </si>
  <si>
    <t>CCTV MAINTENANCE CALCULATOR</t>
  </si>
  <si>
    <t>Standard CCTV Maintenance Fee</t>
  </si>
  <si>
    <t>Enter Access Equipment COST Below</t>
  </si>
  <si>
    <t>Monitor</t>
  </si>
  <si>
    <t>Remote Keypad c/w Joystick</t>
  </si>
  <si>
    <t>Remote PC Terminal</t>
  </si>
  <si>
    <t>DVR/NVR</t>
  </si>
  <si>
    <t>INTERNAL FIXED</t>
  </si>
  <si>
    <t>INTERNAL PTZ</t>
  </si>
  <si>
    <t>EXTERNAL FIXED</t>
  </si>
  <si>
    <t>EXTERNAL PTZ</t>
  </si>
  <si>
    <t>Cameras</t>
  </si>
  <si>
    <t>Control Equipment</t>
  </si>
  <si>
    <t>Redwall Detector</t>
  </si>
  <si>
    <t>Infared Lamp</t>
  </si>
  <si>
    <t>Camera Tower</t>
  </si>
  <si>
    <t>Pricing</t>
  </si>
  <si>
    <t>Other</t>
  </si>
  <si>
    <r>
      <rPr>
        <b/>
        <sz val="10"/>
        <rFont val="Calibri"/>
        <family val="2"/>
        <scheme val="minor"/>
      </rPr>
      <t>MIN</t>
    </r>
    <r>
      <rPr>
        <sz val="10"/>
        <rFont val="Calibri"/>
        <family val="2"/>
        <scheme val="minor"/>
      </rPr>
      <t xml:space="preserve"> EL Price</t>
    </r>
  </si>
  <si>
    <t>PRICE</t>
  </si>
  <si>
    <t>N/A</t>
  </si>
  <si>
    <t>ACCESS CONTROL MAINTENANCE CALCULATOR</t>
  </si>
  <si>
    <t>Access Control Server</t>
  </si>
  <si>
    <t>Access Controlled Door</t>
  </si>
  <si>
    <t>Intercom Door Station</t>
  </si>
  <si>
    <t>Standard ACCESS CONTROL Maintenance Fee</t>
  </si>
  <si>
    <t>Mechanical Damper</t>
  </si>
  <si>
    <t>Automatic Damper</t>
  </si>
  <si>
    <t>Annual DAMPER Maintenance Fee</t>
  </si>
  <si>
    <t>SITE NAME:</t>
  </si>
  <si>
    <t>SITE ID:</t>
  </si>
  <si>
    <t>FIRE &amp; SMOKE DAMPER MAINTENANCE CALCULATOR</t>
  </si>
  <si>
    <t>SLR*</t>
  </si>
  <si>
    <t>OTHER SUB-CONTRACTED SERVICES:</t>
  </si>
  <si>
    <t>Service Offered:</t>
  </si>
  <si>
    <r>
      <t xml:space="preserve">Annual </t>
    </r>
    <r>
      <rPr>
        <b/>
        <sz val="11"/>
        <rFont val="Calibri"/>
        <family val="2"/>
        <scheme val="minor"/>
      </rPr>
      <t>Fire Alarm</t>
    </r>
    <r>
      <rPr>
        <sz val="11"/>
        <rFont val="Calibri"/>
        <family val="2"/>
        <scheme val="minor"/>
      </rPr>
      <t xml:space="preserve"> Maintenance</t>
    </r>
  </si>
  <si>
    <r>
      <t>Annual</t>
    </r>
    <r>
      <rPr>
        <b/>
        <sz val="11"/>
        <rFont val="Calibri"/>
        <family val="2"/>
        <scheme val="minor"/>
      </rPr>
      <t xml:space="preserve"> Emergency Lighting</t>
    </r>
    <r>
      <rPr>
        <sz val="11"/>
        <rFont val="Calibri"/>
        <family val="2"/>
        <scheme val="minor"/>
      </rPr>
      <t xml:space="preserve"> Maintenance</t>
    </r>
  </si>
  <si>
    <r>
      <t xml:space="preserve">Monthly </t>
    </r>
    <r>
      <rPr>
        <b/>
        <sz val="11"/>
        <rFont val="Calibri"/>
        <family val="2"/>
        <scheme val="minor"/>
      </rPr>
      <t>Emergency Lighting</t>
    </r>
    <r>
      <rPr>
        <sz val="11"/>
        <rFont val="Calibri"/>
        <family val="2"/>
        <scheme val="minor"/>
      </rPr>
      <t xml:space="preserve"> Testing</t>
    </r>
  </si>
  <si>
    <r>
      <t xml:space="preserve">Annual </t>
    </r>
    <r>
      <rPr>
        <b/>
        <sz val="11"/>
        <rFont val="Calibri"/>
        <family val="2"/>
        <scheme val="minor"/>
      </rPr>
      <t>Intruder Alarm</t>
    </r>
    <r>
      <rPr>
        <sz val="11"/>
        <rFont val="Calibri"/>
        <family val="2"/>
        <scheme val="minor"/>
      </rPr>
      <t xml:space="preserve"> Maintenance</t>
    </r>
  </si>
  <si>
    <r>
      <t xml:space="preserve">Annual </t>
    </r>
    <r>
      <rPr>
        <b/>
        <sz val="11"/>
        <rFont val="Calibri"/>
        <family val="2"/>
        <scheme val="minor"/>
      </rPr>
      <t>CCTV</t>
    </r>
    <r>
      <rPr>
        <sz val="11"/>
        <rFont val="Calibri"/>
        <family val="2"/>
        <scheme val="minor"/>
      </rPr>
      <t xml:space="preserve"> Maintenance</t>
    </r>
  </si>
  <si>
    <r>
      <t xml:space="preserve">Annual </t>
    </r>
    <r>
      <rPr>
        <b/>
        <sz val="11"/>
        <rFont val="Calibri"/>
        <family val="2"/>
        <scheme val="minor"/>
      </rPr>
      <t>Access Control</t>
    </r>
    <r>
      <rPr>
        <sz val="11"/>
        <rFont val="Calibri"/>
        <family val="2"/>
        <scheme val="minor"/>
      </rPr>
      <t xml:space="preserve"> Maintenance</t>
    </r>
  </si>
  <si>
    <t>TOTAL SALE</t>
  </si>
  <si>
    <t>Sub-Contract Sub-Total</t>
  </si>
  <si>
    <t>Mains Interfaces</t>
  </si>
  <si>
    <t>MAJOR</t>
  </si>
  <si>
    <t>MINOR</t>
  </si>
  <si>
    <t>*2 Man CDO Team Rate</t>
  </si>
  <si>
    <t>CDO Hourly Cost</t>
  </si>
  <si>
    <t>Engineer Hourly Cost</t>
  </si>
  <si>
    <t>LABOUR MARGIN</t>
  </si>
  <si>
    <t>MARGIN</t>
  </si>
  <si>
    <t>Based upon 45 mins per test</t>
  </si>
  <si>
    <t>Based upon 45 minutes per test</t>
  </si>
  <si>
    <t>Based upon completing 17.5 tests (AVG) per day</t>
  </si>
  <si>
    <t>COVER TYPE</t>
  </si>
  <si>
    <t>Inc...</t>
  </si>
  <si>
    <r>
      <t xml:space="preserve">Enter No of hours banksman required for here </t>
    </r>
    <r>
      <rPr>
        <b/>
        <i/>
        <sz val="12"/>
        <rFont val="Calibri"/>
        <family val="2"/>
        <scheme val="minor"/>
      </rPr>
      <t>&gt;</t>
    </r>
  </si>
  <si>
    <t>TOTAL TO QUOTE</t>
  </si>
  <si>
    <t>CCTV</t>
  </si>
  <si>
    <t>15m Van Mount (Up to 3 Days)</t>
  </si>
  <si>
    <t>15m Van Mount (Up to 1 Day)</t>
  </si>
  <si>
    <t>15m Van Mount (Up to 5 Days)</t>
  </si>
  <si>
    <t>Other (Manually enter cost below)</t>
  </si>
  <si>
    <t xml:space="preserve">None </t>
  </si>
  <si>
    <r>
      <t xml:space="preserve">
Select Access Equipment Or Enter COST Manually Below 
</t>
    </r>
    <r>
      <rPr>
        <b/>
        <i/>
        <sz val="10"/>
        <rFont val="Calibri"/>
        <family val="2"/>
        <scheme val="minor"/>
      </rPr>
      <t>***Ensure adjustment for banksman is included below***</t>
    </r>
  </si>
  <si>
    <t>Selection</t>
  </si>
  <si>
    <t>Cost</t>
  </si>
  <si>
    <t>Access Equipment Lookup Table</t>
  </si>
  <si>
    <t>Digital Communicator</t>
  </si>
  <si>
    <t>RedCare Classic - Grade 4</t>
  </si>
  <si>
    <t>RedCare Secure - Grade 2</t>
  </si>
  <si>
    <t>RedCare Secure - Grade 3</t>
  </si>
  <si>
    <t>RedCare Secure - Grade 4</t>
  </si>
  <si>
    <t>RedCare GSM - Grade 4</t>
  </si>
  <si>
    <t>Emizon IP - Grade 2</t>
  </si>
  <si>
    <t>Emizon IP - Grade 3</t>
  </si>
  <si>
    <t>Emizon IP - Grade 4</t>
  </si>
  <si>
    <t>DualCom DigiAIR - Grade 2</t>
  </si>
  <si>
    <t>DualCom GPRS - Grade 2</t>
  </si>
  <si>
    <t>DualCom GPRS - Grade 3</t>
  </si>
  <si>
    <t>DualCom GPRS - Grade 4</t>
  </si>
  <si>
    <t>B002</t>
  </si>
  <si>
    <t>B004</t>
  </si>
  <si>
    <t>B004AG2R</t>
  </si>
  <si>
    <t>B004AG3R</t>
  </si>
  <si>
    <t>B007AGIP4R</t>
  </si>
  <si>
    <t>B004G4G</t>
  </si>
  <si>
    <t>B007EM2</t>
  </si>
  <si>
    <t>B007EM3</t>
  </si>
  <si>
    <t>B007EM4</t>
  </si>
  <si>
    <t>B013DIGA</t>
  </si>
  <si>
    <t>B013GP2</t>
  </si>
  <si>
    <t>B013GP3</t>
  </si>
  <si>
    <t>B013GP4W</t>
  </si>
  <si>
    <t>CASH Part No</t>
  </si>
  <si>
    <t>Description</t>
  </si>
  <si>
    <t>Sell</t>
  </si>
  <si>
    <t>REMOTE MONITORING CALCULATOR</t>
  </si>
  <si>
    <t>RedCare</t>
  </si>
  <si>
    <t>Emizon</t>
  </si>
  <si>
    <t>DualCom</t>
  </si>
  <si>
    <t>Digi</t>
  </si>
  <si>
    <t>MONITORING MARGIN</t>
  </si>
  <si>
    <t>Standard Annual Monitoring Fee</t>
  </si>
  <si>
    <t>Fire Alarm</t>
  </si>
  <si>
    <t>Intruder Alarm</t>
  </si>
  <si>
    <t>Quotation to be requested from chosen RVRC</t>
  </si>
  <si>
    <t>Margin (%)</t>
  </si>
  <si>
    <t>CCTV  Monitoring Cost</t>
  </si>
  <si>
    <r>
      <t xml:space="preserve">Annual </t>
    </r>
    <r>
      <rPr>
        <b/>
        <sz val="11"/>
        <rFont val="Calibri"/>
        <family val="2"/>
        <scheme val="minor"/>
      </rPr>
      <t xml:space="preserve">Fire Alarm </t>
    </r>
    <r>
      <rPr>
        <sz val="11"/>
        <rFont val="Calibri"/>
        <family val="2"/>
        <scheme val="minor"/>
      </rPr>
      <t>Monitoring</t>
    </r>
  </si>
  <si>
    <r>
      <t xml:space="preserve">Annual </t>
    </r>
    <r>
      <rPr>
        <b/>
        <sz val="11"/>
        <rFont val="Calibri"/>
        <family val="2"/>
        <scheme val="minor"/>
      </rPr>
      <t xml:space="preserve">Intruder Alarm </t>
    </r>
    <r>
      <rPr>
        <sz val="11"/>
        <rFont val="Calibri"/>
        <family val="2"/>
        <scheme val="minor"/>
      </rPr>
      <t>Monitoring</t>
    </r>
  </si>
  <si>
    <r>
      <t xml:space="preserve">Annual </t>
    </r>
    <r>
      <rPr>
        <b/>
        <sz val="11"/>
        <rFont val="Calibri"/>
        <family val="2"/>
        <scheme val="minor"/>
      </rPr>
      <t xml:space="preserve">CCTV </t>
    </r>
    <r>
      <rPr>
        <sz val="11"/>
        <rFont val="Calibri"/>
        <family val="2"/>
        <scheme val="minor"/>
      </rPr>
      <t>Monitoring</t>
    </r>
  </si>
  <si>
    <t>Fire Monitoring Cost</t>
  </si>
  <si>
    <t>Intruder Monitoring Cost</t>
  </si>
  <si>
    <t>CCTV Monitoring Cost</t>
  </si>
  <si>
    <t>MONITORING</t>
  </si>
  <si>
    <t>VISITS</t>
  </si>
  <si>
    <t>DIRECT SERVICES</t>
  </si>
  <si>
    <t>Cost per weekly test (17.5 tests)</t>
  </si>
  <si>
    <t>NOTES</t>
  </si>
  <si>
    <t xml:space="preserve">SELL PRICE </t>
  </si>
  <si>
    <t>SELL PRICE</t>
  </si>
  <si>
    <r>
      <t xml:space="preserve">Annual </t>
    </r>
    <r>
      <rPr>
        <b/>
        <sz val="11"/>
        <rFont val="Calibri"/>
        <family val="2"/>
        <scheme val="minor"/>
      </rPr>
      <t>Damper</t>
    </r>
    <r>
      <rPr>
        <sz val="11"/>
        <rFont val="Calibri"/>
        <family val="2"/>
        <scheme val="minor"/>
      </rPr>
      <t xml:space="preserve"> Maintenance</t>
    </r>
  </si>
  <si>
    <r>
      <rPr>
        <b/>
        <sz val="11"/>
        <rFont val="Calibri"/>
        <family val="2"/>
        <scheme val="minor"/>
      </rPr>
      <t>Fire Alarm</t>
    </r>
    <r>
      <rPr>
        <sz val="11"/>
        <rFont val="Calibri"/>
        <family val="2"/>
        <scheme val="minor"/>
      </rPr>
      <t xml:space="preserve"> Weekly Testing</t>
    </r>
  </si>
  <si>
    <t>*** Remote signalling has been selected, please create a monitoring quotation ***</t>
  </si>
  <si>
    <t>*** To monitor this Intruder Alarm System, the system must be maintained by Cormeton Electronics Ltd. Under current regulations we are unable to monitor systems which are not maintained or which are maintained by a 3rd party ***</t>
  </si>
  <si>
    <r>
      <t xml:space="preserve">SUB-CONTRACT </t>
    </r>
    <r>
      <rPr>
        <b/>
        <sz val="12"/>
        <color rgb="FFFF0000"/>
        <rFont val="Calibri"/>
        <family val="2"/>
        <scheme val="minor"/>
      </rPr>
      <t>MARK-UP</t>
    </r>
    <r>
      <rPr>
        <b/>
        <sz val="12"/>
        <color rgb="FFFF0000"/>
        <rFont val="Webdings"/>
        <family val="1"/>
        <charset val="2"/>
      </rPr>
      <t>8</t>
    </r>
  </si>
  <si>
    <r>
      <t>MAX DISCOUNT</t>
    </r>
    <r>
      <rPr>
        <sz val="10"/>
        <rFont val="Webdings"/>
        <family val="1"/>
        <charset val="2"/>
      </rPr>
      <t>8</t>
    </r>
  </si>
  <si>
    <r>
      <t>DIRECT SERVICES DISCOUNT APPLIED</t>
    </r>
    <r>
      <rPr>
        <sz val="10"/>
        <rFont val="Webdings"/>
        <family val="1"/>
        <charset val="2"/>
      </rPr>
      <t>8</t>
    </r>
  </si>
  <si>
    <r>
      <t>MONITORING DISCOUNT APPLIED</t>
    </r>
    <r>
      <rPr>
        <sz val="10"/>
        <rFont val="Webdings"/>
        <family val="1"/>
        <charset val="2"/>
      </rPr>
      <t>8</t>
    </r>
  </si>
  <si>
    <t>11 Visits</t>
  </si>
  <si>
    <t>Enter "11" if required,  "0" if not required</t>
  </si>
  <si>
    <t>1 Visit</t>
  </si>
  <si>
    <t>Emergency Lights
1 VISIT
STANDARD</t>
  </si>
  <si>
    <t>Includes 20% "1 visit" discount</t>
  </si>
  <si>
    <t>SF1619: Issue 02</t>
  </si>
  <si>
    <t>Anticipated Mechanical Dampers per Day Tested</t>
  </si>
  <si>
    <t>Anticipated Automatic Dampers per Day Tested</t>
  </si>
  <si>
    <t>cost per man per day</t>
  </si>
  <si>
    <t>cost per team per day</t>
  </si>
  <si>
    <t>margin</t>
  </si>
  <si>
    <t>team SLR/hour</t>
  </si>
  <si>
    <t>team SLR/day</t>
  </si>
  <si>
    <t>per mechanical damper</t>
  </si>
  <si>
    <t>per automatic damper</t>
  </si>
  <si>
    <t>M dampers per Hour</t>
  </si>
  <si>
    <t>A dampers per Hour</t>
  </si>
  <si>
    <t>ADJUST&gt;&gt;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</si>
</sst>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00"/>
    <numFmt numFmtId="165" formatCode="00000"/>
    <numFmt numFmtId="166" formatCode="0.000"/>
  </numFmts>
  <fonts count="31" x14ac:knownFonts="1">
    <font>
      <sz val="10"/>
      <name val="Times New Roman"/>
    </font>
    <font>
      <sz val="11"/>
      <color theme="1"/>
      <name val="Calibri"/>
      <family val="2"/>
      <scheme val="minor"/>
    </font>
    <font>
      <sz val="10"/>
      <name val="Calibri"/>
      <family val="2"/>
      <scheme val="minor"/>
    </font>
    <font>
      <b/>
      <sz val="10"/>
      <name val="Calibri"/>
      <family val="2"/>
      <scheme val="minor"/>
    </font>
    <font>
      <b/>
      <i/>
      <sz val="10"/>
      <name val="Calibri"/>
      <family val="2"/>
      <scheme val="minor"/>
    </font>
    <font>
      <b/>
      <sz val="12"/>
      <name val="Calibri"/>
      <family val="2"/>
      <scheme val="minor"/>
    </font>
    <font>
      <b/>
      <sz val="11"/>
      <name val="Calibri"/>
      <family val="2"/>
      <scheme val="minor"/>
    </font>
    <font>
      <sz val="11"/>
      <name val="Calibri"/>
      <family val="2"/>
      <scheme val="minor"/>
    </font>
    <font>
      <sz val="12"/>
      <name val="Calibri"/>
      <family val="2"/>
      <scheme val="minor"/>
    </font>
    <font>
      <b/>
      <sz val="10"/>
      <color rgb="FFFF0000"/>
      <name val="Calibri"/>
      <family val="2"/>
      <scheme val="minor"/>
    </font>
    <font>
      <b/>
      <sz val="14"/>
      <name val="Calibri"/>
      <family val="2"/>
      <scheme val="minor"/>
    </font>
    <font>
      <b/>
      <sz val="16"/>
      <name val="Calibri"/>
      <family val="2"/>
      <scheme val="minor"/>
    </font>
    <font>
      <sz val="9"/>
      <name val="Calibri"/>
      <family val="2"/>
      <scheme val="minor"/>
    </font>
    <font>
      <sz val="10"/>
      <name val="Times New Roman"/>
      <family val="1"/>
    </font>
    <font>
      <sz val="48"/>
      <name val="Calibri"/>
      <family val="2"/>
      <scheme val="minor"/>
    </font>
    <font>
      <sz val="10"/>
      <color theme="0"/>
      <name val="Calibri"/>
      <family val="2"/>
      <scheme val="minor"/>
    </font>
    <font>
      <b/>
      <sz val="18"/>
      <name val="Calibri"/>
      <family val="2"/>
      <scheme val="minor"/>
    </font>
    <font>
      <i/>
      <sz val="10"/>
      <name val="Calibri"/>
      <family val="2"/>
      <scheme val="minor"/>
    </font>
    <font>
      <b/>
      <i/>
      <sz val="9"/>
      <name val="Calibri"/>
      <family val="2"/>
      <scheme val="minor"/>
    </font>
    <font>
      <b/>
      <i/>
      <sz val="12"/>
      <name val="Calibri"/>
      <family val="2"/>
      <scheme val="minor"/>
    </font>
    <font>
      <sz val="14"/>
      <name val="Calibri"/>
      <family val="2"/>
      <scheme val="minor"/>
    </font>
    <font>
      <b/>
      <sz val="11"/>
      <color theme="1"/>
      <name val="Calibri"/>
      <family val="2"/>
      <scheme val="minor"/>
    </font>
    <font>
      <sz val="20"/>
      <color rgb="FFFF0000"/>
      <name val="Calibri"/>
      <family val="2"/>
      <scheme val="minor"/>
    </font>
    <font>
      <i/>
      <sz val="9"/>
      <name val="Calibri"/>
      <family val="2"/>
      <scheme val="minor"/>
    </font>
    <font>
      <sz val="36"/>
      <name val="Calibri"/>
      <family val="2"/>
      <scheme val="minor"/>
    </font>
    <font>
      <b/>
      <sz val="10"/>
      <color theme="0"/>
      <name val="Calibri"/>
      <family val="2"/>
      <scheme val="minor"/>
    </font>
    <font>
      <b/>
      <sz val="9"/>
      <color theme="0"/>
      <name val="Calibri"/>
      <family val="2"/>
      <scheme val="minor"/>
    </font>
    <font>
      <b/>
      <sz val="12"/>
      <color rgb="FFFF0000"/>
      <name val="Calibri"/>
      <family val="2"/>
      <scheme val="minor"/>
    </font>
    <font>
      <b/>
      <sz val="12"/>
      <color rgb="FFFF0000"/>
      <name val="Webdings"/>
      <family val="1"/>
      <charset val="2"/>
    </font>
    <font>
      <sz val="10"/>
      <name val="Webdings"/>
      <family val="1"/>
      <charset val="2"/>
    </font>
    <font>
      <sz val="8"/>
      <name val="Arial"/>
      <family val="2"/>
    </font>
  </fonts>
  <fills count="21">
    <fill>
      <patternFill patternType="none"/>
    </fill>
    <fill>
      <patternFill patternType="gray125"/>
    </fill>
    <fill>
      <patternFill patternType="solid">
        <fgColor indexed="22"/>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bgColor indexed="64"/>
      </patternFill>
    </fill>
    <fill>
      <patternFill patternType="solid">
        <fgColor rgb="FF92D050"/>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FF4F4F"/>
        <bgColor indexed="64"/>
      </patternFill>
    </fill>
    <fill>
      <patternFill patternType="solid">
        <fgColor theme="8" tint="0.59999389629810485"/>
        <bgColor indexed="64"/>
      </patternFill>
    </fill>
    <fill>
      <patternFill patternType="solid">
        <fgColor theme="2"/>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indexed="64"/>
      </left>
      <right style="thin">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s>
  <cellStyleXfs count="4">
    <xf numFmtId="0" fontId="0" fillId="0" borderId="0"/>
    <xf numFmtId="44" fontId="13" fillId="0" borderId="0" applyFont="0" applyFill="0" applyBorder="0" applyAlignment="0" applyProtection="0"/>
    <xf numFmtId="9" fontId="13" fillId="0" borderId="0" applyFont="0" applyFill="0" applyBorder="0" applyAlignment="0" applyProtection="0"/>
    <xf numFmtId="0" fontId="1" fillId="0" borderId="0"/>
  </cellStyleXfs>
  <cellXfs count="421">
    <xf numFmtId="0" fontId="0" fillId="0" borderId="0" xfId="0"/>
    <xf numFmtId="0" fontId="2" fillId="0" borderId="0" xfId="0" applyFont="1"/>
    <xf numFmtId="0" fontId="2" fillId="0" borderId="1" xfId="0" applyFont="1" applyBorder="1" applyAlignment="1" applyProtection="1">
      <alignment horizontal="center" vertical="center"/>
      <protection locked="0"/>
    </xf>
    <xf numFmtId="0" fontId="2" fillId="0" borderId="0" xfId="0" applyFont="1" applyAlignment="1">
      <alignment horizont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2" fillId="0" borderId="0" xfId="0" applyFont="1" applyAlignment="1">
      <alignment horizontal="center" vertical="center"/>
    </xf>
    <xf numFmtId="0" fontId="2" fillId="0" borderId="9" xfId="0" applyFont="1" applyBorder="1" applyAlignment="1" applyProtection="1">
      <alignment horizontal="center" vertical="center"/>
      <protection locked="0"/>
    </xf>
    <xf numFmtId="0" fontId="3" fillId="0" borderId="0" xfId="0" applyFont="1" applyAlignment="1">
      <alignment horizontal="right"/>
    </xf>
    <xf numFmtId="44" fontId="2" fillId="0" borderId="0" xfId="0" applyNumberFormat="1" applyFont="1" applyAlignment="1">
      <alignment horizontal="center"/>
    </xf>
    <xf numFmtId="0" fontId="2" fillId="0" borderId="12" xfId="0" applyFont="1" applyBorder="1" applyAlignment="1">
      <alignment horizontal="center" vertical="center"/>
    </xf>
    <xf numFmtId="164" fontId="5" fillId="5" borderId="11" xfId="0" applyNumberFormat="1" applyFont="1" applyFill="1" applyBorder="1"/>
    <xf numFmtId="0" fontId="4"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2" fillId="0" borderId="0" xfId="0" applyFont="1" applyAlignment="1">
      <alignment horizontal="left"/>
    </xf>
    <xf numFmtId="44" fontId="2" fillId="0" borderId="9" xfId="0" applyNumberFormat="1" applyFont="1" applyBorder="1" applyAlignment="1">
      <alignment horizontal="center" vertical="center"/>
    </xf>
    <xf numFmtId="0" fontId="2" fillId="0" borderId="8" xfId="0" applyFont="1" applyBorder="1" applyAlignment="1">
      <alignment horizontal="center" vertical="center"/>
    </xf>
    <xf numFmtId="44" fontId="2" fillId="0" borderId="1" xfId="0" applyNumberFormat="1" applyFont="1" applyBorder="1" applyAlignment="1">
      <alignment vertical="center"/>
    </xf>
    <xf numFmtId="0" fontId="2" fillId="0" borderId="9" xfId="0" applyFont="1" applyBorder="1" applyAlignment="1">
      <alignment horizontal="center" vertical="center"/>
    </xf>
    <xf numFmtId="0" fontId="3" fillId="2" borderId="13" xfId="0" applyFont="1" applyFill="1" applyBorder="1" applyAlignment="1">
      <alignment horizontal="center"/>
    </xf>
    <xf numFmtId="0" fontId="2" fillId="2" borderId="13" xfId="0" applyFont="1" applyFill="1" applyBorder="1" applyAlignment="1">
      <alignment horizontal="center" textRotation="180" shrinkToFit="1"/>
    </xf>
    <xf numFmtId="0" fontId="2" fillId="2" borderId="13" xfId="0" applyFont="1" applyFill="1" applyBorder="1" applyAlignment="1">
      <alignment horizontal="center" textRotation="180" wrapText="1" shrinkToFit="1"/>
    </xf>
    <xf numFmtId="0" fontId="2" fillId="2" borderId="13" xfId="0" applyFont="1" applyFill="1" applyBorder="1" applyAlignment="1">
      <alignment horizontal="center" textRotation="180"/>
    </xf>
    <xf numFmtId="0" fontId="3" fillId="2" borderId="14" xfId="0" applyFont="1" applyFill="1" applyBorder="1" applyAlignment="1">
      <alignment horizontal="center" vertical="center" wrapText="1" shrinkToFit="1"/>
    </xf>
    <xf numFmtId="0" fontId="3" fillId="4" borderId="13" xfId="0" applyFont="1" applyFill="1" applyBorder="1" applyAlignment="1">
      <alignment horizontal="center" vertical="center" wrapText="1" shrinkToFit="1"/>
    </xf>
    <xf numFmtId="44" fontId="5" fillId="10" borderId="11" xfId="0" applyNumberFormat="1" applyFont="1" applyFill="1" applyBorder="1" applyAlignment="1">
      <alignment horizontal="center" vertical="center"/>
    </xf>
    <xf numFmtId="44" fontId="3" fillId="0" borderId="11" xfId="0" applyNumberFormat="1" applyFont="1" applyBorder="1" applyAlignment="1">
      <alignment horizontal="center" vertical="center"/>
    </xf>
    <xf numFmtId="0" fontId="2" fillId="12" borderId="1" xfId="0" applyFont="1" applyFill="1" applyBorder="1" applyAlignment="1">
      <alignment horizontal="center"/>
    </xf>
    <xf numFmtId="0" fontId="2" fillId="12" borderId="1" xfId="0" applyFont="1" applyFill="1" applyBorder="1" applyAlignment="1">
      <alignment horizontal="center" vertical="center"/>
    </xf>
    <xf numFmtId="0" fontId="2" fillId="14" borderId="1" xfId="0" applyFont="1" applyFill="1" applyBorder="1" applyAlignment="1">
      <alignment horizontal="center"/>
    </xf>
    <xf numFmtId="0" fontId="2" fillId="14" borderId="1" xfId="0" applyFont="1" applyFill="1" applyBorder="1" applyAlignment="1">
      <alignment horizontal="center" vertical="center"/>
    </xf>
    <xf numFmtId="0" fontId="9" fillId="0" borderId="0" xfId="0" applyFont="1" applyAlignment="1">
      <alignment horizontal="center" vertical="center" wrapText="1" shrinkToFit="1"/>
    </xf>
    <xf numFmtId="44" fontId="3" fillId="0" borderId="24" xfId="0" applyNumberFormat="1" applyFont="1" applyBorder="1" applyAlignment="1">
      <alignment horizontal="center" vertical="center"/>
    </xf>
    <xf numFmtId="0" fontId="5" fillId="0" borderId="6" xfId="0" applyFont="1" applyBorder="1" applyAlignment="1">
      <alignment horizontal="center"/>
    </xf>
    <xf numFmtId="0" fontId="5" fillId="0" borderId="7" xfId="0" applyFont="1" applyBorder="1" applyAlignment="1">
      <alignment horizontal="center"/>
    </xf>
    <xf numFmtId="0" fontId="2" fillId="2" borderId="28" xfId="0" applyFont="1" applyFill="1" applyBorder="1" applyAlignment="1">
      <alignment horizontal="center" textRotation="180" wrapText="1" shrinkToFit="1"/>
    </xf>
    <xf numFmtId="0" fontId="2" fillId="2" borderId="29" xfId="0" applyFont="1" applyFill="1" applyBorder="1" applyAlignment="1">
      <alignment horizontal="center" textRotation="180" shrinkToFit="1"/>
    </xf>
    <xf numFmtId="0" fontId="2" fillId="0" borderId="30" xfId="0" applyFont="1" applyBorder="1" applyAlignment="1" applyProtection="1">
      <alignment horizontal="center" vertical="center"/>
      <protection locked="0"/>
    </xf>
    <xf numFmtId="0" fontId="2" fillId="0" borderId="31" xfId="0" applyFont="1" applyBorder="1" applyAlignment="1" applyProtection="1">
      <alignment horizontal="center" vertical="center"/>
      <protection locked="0"/>
    </xf>
    <xf numFmtId="0" fontId="2" fillId="0" borderId="32" xfId="0" applyFont="1" applyBorder="1" applyAlignment="1" applyProtection="1">
      <alignment horizontal="center" vertical="center"/>
      <protection locked="0"/>
    </xf>
    <xf numFmtId="0" fontId="3" fillId="2" borderId="6" xfId="0" applyFont="1" applyFill="1" applyBorder="1" applyAlignment="1">
      <alignment horizontal="center"/>
    </xf>
    <xf numFmtId="0" fontId="2" fillId="2" borderId="28" xfId="0" applyFont="1" applyFill="1" applyBorder="1" applyAlignment="1">
      <alignment horizontal="center" textRotation="180" shrinkToFit="1"/>
    </xf>
    <xf numFmtId="0" fontId="2" fillId="2" borderId="29" xfId="0" applyFont="1" applyFill="1" applyBorder="1" applyAlignment="1">
      <alignment horizontal="center" textRotation="180" wrapText="1" shrinkToFit="1"/>
    </xf>
    <xf numFmtId="44" fontId="5" fillId="5" borderId="11" xfId="0" applyNumberFormat="1" applyFont="1" applyFill="1" applyBorder="1"/>
    <xf numFmtId="0" fontId="3" fillId="17" borderId="25" xfId="0" applyFont="1" applyFill="1" applyBorder="1" applyAlignment="1">
      <alignment horizontal="center" vertical="center" wrapText="1" shrinkToFit="1"/>
    </xf>
    <xf numFmtId="44" fontId="2" fillId="0" borderId="13" xfId="0" applyNumberFormat="1" applyFont="1" applyBorder="1" applyAlignment="1">
      <alignment horizontal="center" vertical="center"/>
    </xf>
    <xf numFmtId="0" fontId="2" fillId="2" borderId="25" xfId="0" applyFont="1" applyFill="1" applyBorder="1" applyAlignment="1">
      <alignment horizontal="center" textRotation="180" shrinkToFit="1"/>
    </xf>
    <xf numFmtId="0" fontId="2" fillId="2" borderId="26" xfId="0" applyFont="1" applyFill="1" applyBorder="1" applyAlignment="1">
      <alignment horizontal="center" textRotation="180" shrinkToFit="1"/>
    </xf>
    <xf numFmtId="0" fontId="2" fillId="2" borderId="27" xfId="0" applyFont="1" applyFill="1" applyBorder="1" applyAlignment="1">
      <alignment horizontal="center" textRotation="180" shrinkToFit="1"/>
    </xf>
    <xf numFmtId="0" fontId="2" fillId="7" borderId="0" xfId="0" applyFont="1" applyFill="1"/>
    <xf numFmtId="0" fontId="2" fillId="7" borderId="0" xfId="0" applyFont="1" applyFill="1" applyProtection="1">
      <protection hidden="1"/>
    </xf>
    <xf numFmtId="0" fontId="2" fillId="7" borderId="9" xfId="0" applyFont="1" applyFill="1" applyBorder="1"/>
    <xf numFmtId="0" fontId="2" fillId="7" borderId="0" xfId="0" applyFont="1" applyFill="1" applyAlignment="1">
      <alignment horizontal="center"/>
    </xf>
    <xf numFmtId="0" fontId="3" fillId="2" borderId="25" xfId="0" applyFont="1" applyFill="1" applyBorder="1" applyAlignment="1">
      <alignment horizontal="center"/>
    </xf>
    <xf numFmtId="0" fontId="3" fillId="2" borderId="26" xfId="0" applyFont="1" applyFill="1" applyBorder="1" applyAlignment="1">
      <alignment horizontal="left"/>
    </xf>
    <xf numFmtId="0" fontId="3" fillId="2" borderId="26" xfId="0" applyFont="1" applyFill="1" applyBorder="1" applyAlignment="1">
      <alignment horizontal="center" textRotation="180" shrinkToFit="1"/>
    </xf>
    <xf numFmtId="0" fontId="3" fillId="2" borderId="26" xfId="0" applyFont="1" applyFill="1" applyBorder="1" applyAlignment="1">
      <alignment horizontal="center" textRotation="180"/>
    </xf>
    <xf numFmtId="0" fontId="3" fillId="2" borderId="26" xfId="0" applyFont="1" applyFill="1" applyBorder="1" applyAlignment="1">
      <alignment horizontal="center" vertical="center" wrapText="1" shrinkToFit="1"/>
    </xf>
    <xf numFmtId="0" fontId="3" fillId="2" borderId="27" xfId="0" applyFont="1" applyFill="1" applyBorder="1" applyAlignment="1">
      <alignment horizontal="center" vertical="center" wrapText="1" shrinkToFit="1"/>
    </xf>
    <xf numFmtId="164" fontId="2" fillId="0" borderId="37" xfId="0" applyNumberFormat="1" applyFont="1" applyBorder="1" applyAlignment="1">
      <alignment horizontal="center" vertical="center"/>
    </xf>
    <xf numFmtId="0" fontId="2" fillId="4" borderId="38" xfId="0" applyFont="1" applyFill="1" applyBorder="1"/>
    <xf numFmtId="0" fontId="2" fillId="4" borderId="0" xfId="0" applyFont="1" applyFill="1"/>
    <xf numFmtId="0" fontId="2" fillId="4" borderId="0" xfId="0" applyFont="1" applyFill="1" applyAlignment="1">
      <alignment horizontal="center"/>
    </xf>
    <xf numFmtId="0" fontId="2" fillId="4" borderId="39" xfId="0" applyFont="1" applyFill="1" applyBorder="1"/>
    <xf numFmtId="0" fontId="2" fillId="0" borderId="39" xfId="0" applyFont="1" applyBorder="1"/>
    <xf numFmtId="44" fontId="5" fillId="0" borderId="39" xfId="0" applyNumberFormat="1" applyFont="1" applyBorder="1" applyAlignment="1">
      <alignment horizontal="center" vertical="center"/>
    </xf>
    <xf numFmtId="44" fontId="3" fillId="0" borderId="37" xfId="0" applyNumberFormat="1" applyFont="1" applyBorder="1" applyAlignment="1">
      <alignment horizontal="center" vertical="center"/>
    </xf>
    <xf numFmtId="164" fontId="3" fillId="8" borderId="37" xfId="0" applyNumberFormat="1" applyFont="1" applyFill="1" applyBorder="1" applyAlignment="1">
      <alignment horizontal="center" vertical="center"/>
    </xf>
    <xf numFmtId="0" fontId="2" fillId="0" borderId="39" xfId="0" applyFont="1" applyBorder="1" applyAlignment="1">
      <alignment horizontal="center" vertical="center"/>
    </xf>
    <xf numFmtId="0" fontId="2" fillId="0" borderId="31" xfId="0" applyFont="1" applyBorder="1" applyAlignment="1">
      <alignment horizontal="center" vertical="center"/>
    </xf>
    <xf numFmtId="164" fontId="3" fillId="8" borderId="32" xfId="0" applyNumberFormat="1" applyFont="1" applyFill="1" applyBorder="1" applyAlignment="1">
      <alignment horizontal="center" vertical="center"/>
    </xf>
    <xf numFmtId="0" fontId="2" fillId="0" borderId="19" xfId="0" applyFont="1" applyBorder="1"/>
    <xf numFmtId="0" fontId="2" fillId="0" borderId="18" xfId="0" applyFont="1" applyBorder="1"/>
    <xf numFmtId="0" fontId="2" fillId="0" borderId="18" xfId="0" applyFont="1" applyBorder="1" applyAlignment="1">
      <alignment horizontal="center"/>
    </xf>
    <xf numFmtId="0" fontId="2" fillId="0" borderId="20" xfId="0" applyFont="1" applyBorder="1"/>
    <xf numFmtId="0" fontId="2" fillId="0" borderId="38" xfId="0" applyFont="1" applyBorder="1"/>
    <xf numFmtId="44" fontId="2" fillId="0" borderId="37" xfId="0" applyNumberFormat="1" applyFont="1" applyBorder="1" applyAlignment="1">
      <alignment vertical="center"/>
    </xf>
    <xf numFmtId="0" fontId="3" fillId="2" borderId="28" xfId="0" applyFont="1" applyFill="1" applyBorder="1" applyAlignment="1">
      <alignment horizontal="center"/>
    </xf>
    <xf numFmtId="0" fontId="5" fillId="4" borderId="29" xfId="0" applyFont="1" applyFill="1" applyBorder="1" applyAlignment="1">
      <alignment horizontal="center" vertical="center" wrapText="1" shrinkToFit="1"/>
    </xf>
    <xf numFmtId="0" fontId="2" fillId="0" borderId="38" xfId="0" applyFont="1" applyBorder="1" applyAlignment="1">
      <alignment horizontal="center"/>
    </xf>
    <xf numFmtId="0" fontId="2" fillId="0" borderId="39" xfId="0" applyFont="1" applyBorder="1" applyAlignment="1">
      <alignment horizontal="center"/>
    </xf>
    <xf numFmtId="0" fontId="2" fillId="7" borderId="38" xfId="0" applyFont="1" applyFill="1" applyBorder="1"/>
    <xf numFmtId="0" fontId="2" fillId="7" borderId="38" xfId="0" applyFont="1" applyFill="1" applyBorder="1" applyProtection="1">
      <protection hidden="1"/>
    </xf>
    <xf numFmtId="0" fontId="2" fillId="7" borderId="39" xfId="0" applyFont="1" applyFill="1" applyBorder="1"/>
    <xf numFmtId="0" fontId="2" fillId="7" borderId="19" xfId="0" applyFont="1" applyFill="1" applyBorder="1"/>
    <xf numFmtId="0" fontId="2" fillId="7" borderId="18" xfId="0" applyFont="1" applyFill="1" applyBorder="1"/>
    <xf numFmtId="0" fontId="2" fillId="3" borderId="26" xfId="0" applyFont="1" applyFill="1" applyBorder="1" applyAlignment="1">
      <alignment horizontal="center"/>
    </xf>
    <xf numFmtId="0" fontId="2" fillId="9" borderId="27" xfId="0" applyFont="1" applyFill="1" applyBorder="1" applyAlignment="1">
      <alignment horizontal="center" vertical="center"/>
    </xf>
    <xf numFmtId="0" fontId="8" fillId="0" borderId="0" xfId="0" applyFont="1"/>
    <xf numFmtId="0" fontId="8" fillId="0" borderId="0" xfId="0" applyFont="1" applyAlignment="1">
      <alignment horizontal="center" vertical="center"/>
    </xf>
    <xf numFmtId="0" fontId="8" fillId="0" borderId="0" xfId="0" applyFont="1" applyAlignment="1">
      <alignment horizontal="right" vertical="center"/>
    </xf>
    <xf numFmtId="0" fontId="2" fillId="0" borderId="44" xfId="0" applyFont="1" applyBorder="1" applyAlignment="1" applyProtection="1">
      <alignment horizontal="center" vertical="center"/>
      <protection locked="0"/>
    </xf>
    <xf numFmtId="0" fontId="2" fillId="0" borderId="35" xfId="0" applyFont="1" applyBorder="1" applyAlignment="1" applyProtection="1">
      <alignment horizontal="center" vertical="center"/>
      <protection locked="0"/>
    </xf>
    <xf numFmtId="0" fontId="2" fillId="0" borderId="47" xfId="0" applyFont="1" applyBorder="1" applyAlignment="1" applyProtection="1">
      <alignment horizontal="center" vertical="center"/>
      <protection locked="0"/>
    </xf>
    <xf numFmtId="0" fontId="2" fillId="18" borderId="1" xfId="0" applyFont="1" applyFill="1" applyBorder="1" applyAlignment="1">
      <alignment horizontal="center" vertical="center"/>
    </xf>
    <xf numFmtId="0" fontId="2" fillId="18" borderId="9" xfId="0" applyFont="1" applyFill="1" applyBorder="1" applyAlignment="1">
      <alignment horizontal="center" vertical="center"/>
    </xf>
    <xf numFmtId="0" fontId="2" fillId="18" borderId="12" xfId="0" applyFont="1" applyFill="1" applyBorder="1" applyAlignment="1">
      <alignment horizontal="center" vertical="center"/>
    </xf>
    <xf numFmtId="44" fontId="2" fillId="0" borderId="1" xfId="0" applyNumberFormat="1" applyFont="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37" xfId="0" applyFont="1" applyBorder="1" applyAlignment="1" applyProtection="1">
      <alignment horizontal="center" vertical="center"/>
      <protection locked="0"/>
    </xf>
    <xf numFmtId="164" fontId="2" fillId="0" borderId="37" xfId="0" applyNumberFormat="1" applyFont="1" applyBorder="1" applyAlignment="1" applyProtection="1">
      <alignment horizontal="center" vertical="center"/>
      <protection locked="0"/>
    </xf>
    <xf numFmtId="165" fontId="2" fillId="0" borderId="36" xfId="0" applyNumberFormat="1" applyFont="1" applyBorder="1" applyAlignment="1">
      <alignment horizontal="center" vertical="center"/>
    </xf>
    <xf numFmtId="0" fontId="2" fillId="0" borderId="1" xfId="0" applyFont="1" applyBorder="1" applyAlignment="1" applyProtection="1">
      <alignment horizontal="center"/>
      <protection locked="0"/>
    </xf>
    <xf numFmtId="165" fontId="2" fillId="0" borderId="1" xfId="0" applyNumberFormat="1" applyFont="1" applyBorder="1" applyAlignment="1">
      <alignment horizontal="center" vertical="center"/>
    </xf>
    <xf numFmtId="2" fontId="2" fillId="7" borderId="12" xfId="0" applyNumberFormat="1" applyFont="1" applyFill="1" applyBorder="1"/>
    <xf numFmtId="165" fontId="2" fillId="0" borderId="38" xfId="0" applyNumberFormat="1" applyFont="1" applyBorder="1" applyAlignment="1">
      <alignment horizontal="center" vertical="center"/>
    </xf>
    <xf numFmtId="0" fontId="2" fillId="0" borderId="0" xfId="0" applyFont="1" applyAlignment="1" applyProtection="1">
      <alignment horizontal="center" vertical="center"/>
      <protection locked="0"/>
    </xf>
    <xf numFmtId="164" fontId="2" fillId="0" borderId="0" xfId="0" applyNumberFormat="1" applyFont="1" applyAlignment="1">
      <alignment horizontal="center" vertical="center"/>
    </xf>
    <xf numFmtId="164" fontId="2" fillId="0" borderId="39" xfId="0" applyNumberFormat="1" applyFont="1" applyBorder="1" applyAlignment="1">
      <alignment horizontal="center" vertical="center"/>
    </xf>
    <xf numFmtId="0" fontId="2" fillId="0" borderId="0" xfId="0" applyFont="1" applyAlignment="1">
      <alignment horizontal="right" vertical="center"/>
    </xf>
    <xf numFmtId="166" fontId="12" fillId="0" borderId="0" xfId="0" applyNumberFormat="1" applyFont="1" applyAlignment="1" applyProtection="1">
      <alignment horizontal="center" vertical="center"/>
      <protection locked="0"/>
    </xf>
    <xf numFmtId="164" fontId="2" fillId="6" borderId="0" xfId="0" applyNumberFormat="1" applyFont="1" applyFill="1" applyAlignment="1">
      <alignment horizontal="center" vertical="center"/>
    </xf>
    <xf numFmtId="166" fontId="2" fillId="0" borderId="0" xfId="0" applyNumberFormat="1" applyFont="1" applyAlignment="1">
      <alignment horizontal="center"/>
    </xf>
    <xf numFmtId="0" fontId="7" fillId="0" borderId="13" xfId="0" applyFont="1" applyBorder="1" applyAlignment="1">
      <alignment horizontal="right" vertical="center"/>
    </xf>
    <xf numFmtId="0" fontId="8" fillId="0" borderId="1" xfId="0" applyFont="1" applyBorder="1" applyAlignment="1">
      <alignment horizontal="center" vertical="center"/>
    </xf>
    <xf numFmtId="0" fontId="7" fillId="0" borderId="1" xfId="0" applyFont="1" applyBorder="1" applyAlignment="1">
      <alignment horizontal="right" vertical="center"/>
    </xf>
    <xf numFmtId="0" fontId="8" fillId="0" borderId="10" xfId="0" applyFont="1" applyBorder="1" applyAlignment="1">
      <alignment horizontal="center" vertical="center"/>
    </xf>
    <xf numFmtId="0" fontId="5" fillId="0" borderId="13" xfId="0" applyFont="1" applyBorder="1"/>
    <xf numFmtId="0" fontId="8" fillId="11" borderId="15" xfId="0" applyFont="1" applyFill="1" applyBorder="1" applyAlignment="1">
      <alignment horizontal="center" vertical="center"/>
    </xf>
    <xf numFmtId="44" fontId="8" fillId="0" borderId="0" xfId="1" applyFont="1"/>
    <xf numFmtId="0" fontId="8" fillId="0" borderId="1" xfId="0" applyFont="1" applyBorder="1" applyProtection="1">
      <protection locked="0"/>
    </xf>
    <xf numFmtId="0" fontId="8" fillId="0" borderId="1" xfId="0" applyFont="1" applyBorder="1" applyAlignment="1" applyProtection="1">
      <alignment horizontal="center" vertical="center"/>
      <protection locked="0"/>
    </xf>
    <xf numFmtId="0" fontId="15" fillId="0" borderId="1" xfId="0" applyFont="1" applyBorder="1" applyAlignment="1">
      <alignment horizontal="center" vertical="center"/>
    </xf>
    <xf numFmtId="0" fontId="5" fillId="0" borderId="0" xfId="0" applyFont="1"/>
    <xf numFmtId="9" fontId="8" fillId="0" borderId="1" xfId="2" applyFont="1" applyBorder="1" applyAlignment="1" applyProtection="1">
      <alignment horizontal="center"/>
    </xf>
    <xf numFmtId="0" fontId="17" fillId="0" borderId="0" xfId="0" applyFont="1"/>
    <xf numFmtId="0" fontId="8" fillId="0" borderId="1" xfId="0" applyFont="1" applyBorder="1" applyAlignment="1">
      <alignment horizontal="center"/>
    </xf>
    <xf numFmtId="0" fontId="5" fillId="17" borderId="54" xfId="0" applyFont="1" applyFill="1" applyBorder="1" applyAlignment="1">
      <alignment horizontal="center" vertical="center" wrapText="1" shrinkToFit="1"/>
    </xf>
    <xf numFmtId="0" fontId="2" fillId="2" borderId="55" xfId="0" applyFont="1" applyFill="1" applyBorder="1" applyAlignment="1">
      <alignment horizontal="center" textRotation="180" shrinkToFit="1"/>
    </xf>
    <xf numFmtId="0" fontId="2" fillId="2" borderId="56" xfId="0" applyFont="1" applyFill="1" applyBorder="1" applyAlignment="1">
      <alignment horizontal="center" textRotation="180" wrapText="1" shrinkToFit="1"/>
    </xf>
    <xf numFmtId="0" fontId="2" fillId="2" borderId="7" xfId="0" applyFont="1" applyFill="1" applyBorder="1" applyAlignment="1">
      <alignment horizontal="center" textRotation="180" shrinkToFit="1"/>
    </xf>
    <xf numFmtId="44" fontId="2" fillId="0" borderId="0" xfId="1" applyFont="1" applyBorder="1" applyAlignment="1">
      <alignment horizontal="center" vertical="center"/>
    </xf>
    <xf numFmtId="165" fontId="2" fillId="0" borderId="0" xfId="0" applyNumberFormat="1" applyFont="1" applyAlignment="1">
      <alignment horizontal="center" vertical="center"/>
    </xf>
    <xf numFmtId="44" fontId="3" fillId="0" borderId="0" xfId="0" applyNumberFormat="1" applyFont="1" applyAlignment="1">
      <alignment horizontal="center" vertical="center"/>
    </xf>
    <xf numFmtId="44" fontId="2" fillId="0" borderId="11" xfId="0" applyNumberFormat="1" applyFont="1" applyBorder="1" applyAlignment="1" applyProtection="1">
      <alignment horizontal="center" vertical="center"/>
      <protection locked="0"/>
    </xf>
    <xf numFmtId="44" fontId="18" fillId="0" borderId="0" xfId="0" applyNumberFormat="1" applyFont="1" applyAlignment="1">
      <alignment horizontal="right" vertical="center"/>
    </xf>
    <xf numFmtId="0" fontId="3" fillId="17" borderId="57" xfId="0" applyFont="1" applyFill="1" applyBorder="1" applyAlignment="1">
      <alignment horizontal="center" vertical="center" wrapText="1" shrinkToFit="1"/>
    </xf>
    <xf numFmtId="0" fontId="3" fillId="17" borderId="58" xfId="0" applyFont="1" applyFill="1" applyBorder="1" applyAlignment="1">
      <alignment horizontal="center" vertical="center" wrapText="1" shrinkToFit="1"/>
    </xf>
    <xf numFmtId="0" fontId="2" fillId="0" borderId="49" xfId="0" applyFont="1" applyBorder="1" applyAlignment="1" applyProtection="1">
      <alignment horizontal="center" vertical="center"/>
      <protection locked="0"/>
    </xf>
    <xf numFmtId="44" fontId="2" fillId="0" borderId="59" xfId="0" applyNumberFormat="1" applyFont="1" applyBorder="1" applyAlignment="1" applyProtection="1">
      <alignment horizontal="center" vertical="center"/>
      <protection locked="0"/>
    </xf>
    <xf numFmtId="0" fontId="3" fillId="17" borderId="60" xfId="0" applyFont="1" applyFill="1" applyBorder="1" applyAlignment="1">
      <alignment horizontal="center" vertical="center" wrapText="1" shrinkToFit="1"/>
    </xf>
    <xf numFmtId="0" fontId="5" fillId="17" borderId="20" xfId="0" applyFont="1" applyFill="1" applyBorder="1" applyAlignment="1">
      <alignment horizontal="center" vertical="center" wrapText="1" shrinkToFit="1"/>
    </xf>
    <xf numFmtId="44" fontId="5" fillId="10" borderId="17" xfId="0" applyNumberFormat="1" applyFont="1" applyFill="1" applyBorder="1" applyAlignment="1">
      <alignment horizontal="center" vertical="center"/>
    </xf>
    <xf numFmtId="0" fontId="3" fillId="7" borderId="53" xfId="0" applyFont="1" applyFill="1" applyBorder="1" applyAlignment="1">
      <alignment horizontal="center" vertical="center" wrapText="1" shrinkToFit="1"/>
    </xf>
    <xf numFmtId="44" fontId="2" fillId="7" borderId="24" xfId="0" applyNumberFormat="1" applyFont="1" applyFill="1" applyBorder="1" applyAlignment="1">
      <alignment horizontal="center" vertical="center"/>
    </xf>
    <xf numFmtId="9" fontId="8" fillId="0" borderId="10" xfId="2" applyFont="1" applyBorder="1" applyAlignment="1" applyProtection="1">
      <alignment horizontal="center"/>
    </xf>
    <xf numFmtId="44" fontId="8" fillId="0" borderId="11" xfId="0" applyNumberFormat="1" applyFont="1" applyBorder="1" applyAlignment="1">
      <alignment horizontal="center" vertical="center"/>
    </xf>
    <xf numFmtId="0" fontId="3" fillId="17" borderId="58" xfId="0" applyFont="1" applyFill="1" applyBorder="1" applyAlignment="1">
      <alignment horizontal="center" vertical="top" wrapText="1" shrinkToFit="1"/>
    </xf>
    <xf numFmtId="0" fontId="3" fillId="0" borderId="9" xfId="0" applyFont="1" applyBorder="1"/>
    <xf numFmtId="0" fontId="2" fillId="0" borderId="61" xfId="0" applyFont="1" applyBorder="1" applyAlignment="1">
      <alignment horizontal="center"/>
    </xf>
    <xf numFmtId="0" fontId="2" fillId="0" borderId="61" xfId="0" applyFont="1" applyBorder="1"/>
    <xf numFmtId="0" fontId="2" fillId="0" borderId="12" xfId="0" applyFont="1" applyBorder="1"/>
    <xf numFmtId="0" fontId="2" fillId="0" borderId="1" xfId="0" applyFont="1" applyBorder="1"/>
    <xf numFmtId="0" fontId="2" fillId="0" borderId="9" xfId="0" applyFont="1" applyBorder="1" applyAlignment="1" applyProtection="1">
      <alignment horizontal="center"/>
      <protection locked="0"/>
    </xf>
    <xf numFmtId="164" fontId="2" fillId="0" borderId="0" xfId="0" applyNumberFormat="1" applyFont="1" applyAlignment="1">
      <alignment horizontal="center"/>
    </xf>
    <xf numFmtId="0" fontId="2" fillId="0" borderId="0" xfId="0" applyFont="1" applyAlignment="1">
      <alignment horizontal="right"/>
    </xf>
    <xf numFmtId="0" fontId="2" fillId="0" borderId="14" xfId="0" applyFont="1" applyBorder="1" applyAlignment="1">
      <alignment horizontal="right"/>
    </xf>
    <xf numFmtId="0" fontId="2" fillId="0" borderId="13" xfId="0" applyFont="1" applyBorder="1" applyAlignment="1">
      <alignment horizontal="center"/>
    </xf>
    <xf numFmtId="0" fontId="2" fillId="0" borderId="1" xfId="0" applyFont="1" applyBorder="1" applyAlignment="1">
      <alignment horizontal="center"/>
    </xf>
    <xf numFmtId="164" fontId="5" fillId="19" borderId="24" xfId="0" applyNumberFormat="1" applyFont="1" applyFill="1" applyBorder="1"/>
    <xf numFmtId="0" fontId="2" fillId="4" borderId="50" xfId="0" applyFont="1" applyFill="1" applyBorder="1" applyAlignment="1">
      <alignment horizontal="right"/>
    </xf>
    <xf numFmtId="164" fontId="2" fillId="4" borderId="43" xfId="0" applyNumberFormat="1" applyFont="1" applyFill="1" applyBorder="1" applyAlignment="1">
      <alignment horizontal="center"/>
    </xf>
    <xf numFmtId="164" fontId="2" fillId="4" borderId="43" xfId="0" applyNumberFormat="1" applyFont="1" applyFill="1" applyBorder="1"/>
    <xf numFmtId="0" fontId="2" fillId="0" borderId="30" xfId="0" applyFont="1" applyBorder="1" applyAlignment="1">
      <alignment horizontal="center"/>
    </xf>
    <xf numFmtId="44" fontId="3" fillId="4" borderId="11" xfId="0" applyNumberFormat="1" applyFont="1" applyFill="1" applyBorder="1" applyAlignment="1">
      <alignment horizontal="center"/>
    </xf>
    <xf numFmtId="44" fontId="3" fillId="4" borderId="17" xfId="0" applyNumberFormat="1" applyFont="1" applyFill="1" applyBorder="1" applyAlignment="1">
      <alignment horizontal="center"/>
    </xf>
    <xf numFmtId="44" fontId="2" fillId="0" borderId="1" xfId="0" applyNumberFormat="1" applyFont="1" applyBorder="1" applyAlignment="1">
      <alignment horizontal="center"/>
    </xf>
    <xf numFmtId="0" fontId="2" fillId="0" borderId="9" xfId="0" applyFont="1" applyBorder="1" applyAlignment="1">
      <alignment horizontal="center"/>
    </xf>
    <xf numFmtId="10" fontId="3" fillId="0" borderId="11" xfId="0" applyNumberFormat="1" applyFont="1" applyBorder="1" applyAlignment="1" applyProtection="1">
      <alignment horizontal="center" vertical="center"/>
      <protection locked="0"/>
    </xf>
    <xf numFmtId="44" fontId="2" fillId="0" borderId="0" xfId="0" applyNumberFormat="1" applyFont="1"/>
    <xf numFmtId="0" fontId="21" fillId="0" borderId="62" xfId="3" applyFont="1" applyBorder="1" applyAlignment="1">
      <alignment horizontal="center"/>
    </xf>
    <xf numFmtId="0" fontId="1" fillId="0" borderId="62" xfId="3" applyBorder="1" applyAlignment="1">
      <alignment horizontal="left"/>
    </xf>
    <xf numFmtId="164" fontId="1" fillId="0" borderId="62" xfId="3" applyNumberFormat="1" applyBorder="1" applyAlignment="1">
      <alignment horizontal="center"/>
    </xf>
    <xf numFmtId="0" fontId="3" fillId="0" borderId="0" xfId="0" applyFont="1"/>
    <xf numFmtId="0" fontId="8" fillId="0" borderId="1" xfId="0" applyFont="1" applyBorder="1"/>
    <xf numFmtId="44" fontId="8" fillId="0" borderId="0" xfId="0" applyNumberFormat="1" applyFont="1"/>
    <xf numFmtId="164" fontId="2" fillId="0" borderId="0" xfId="0" applyNumberFormat="1" applyFont="1"/>
    <xf numFmtId="0" fontId="2" fillId="0" borderId="8" xfId="0" applyFont="1" applyBorder="1" applyAlignment="1" applyProtection="1">
      <alignment horizontal="center" vertical="center"/>
      <protection locked="0"/>
    </xf>
    <xf numFmtId="0" fontId="5" fillId="4" borderId="45" xfId="0" applyFont="1" applyFill="1" applyBorder="1" applyAlignment="1">
      <alignment horizontal="center"/>
    </xf>
    <xf numFmtId="0" fontId="2" fillId="2" borderId="24" xfId="0" applyFont="1" applyFill="1" applyBorder="1" applyAlignment="1">
      <alignment horizontal="center" textRotation="180" shrinkToFit="1"/>
    </xf>
    <xf numFmtId="0" fontId="2" fillId="0" borderId="13" xfId="0" applyFont="1" applyBorder="1" applyAlignment="1" applyProtection="1">
      <alignment horizontal="center" vertical="center"/>
      <protection locked="0"/>
    </xf>
    <xf numFmtId="0" fontId="2" fillId="2" borderId="65" xfId="0" applyFont="1" applyFill="1" applyBorder="1" applyAlignment="1">
      <alignment horizontal="center" textRotation="180" shrinkToFit="1"/>
    </xf>
    <xf numFmtId="0" fontId="2" fillId="2" borderId="66" xfId="0" applyFont="1" applyFill="1" applyBorder="1" applyAlignment="1">
      <alignment horizontal="center" textRotation="180" shrinkToFit="1"/>
    </xf>
    <xf numFmtId="0" fontId="2" fillId="2" borderId="67" xfId="0" applyFont="1" applyFill="1" applyBorder="1" applyAlignment="1">
      <alignment horizontal="center" textRotation="180" shrinkToFit="1"/>
    </xf>
    <xf numFmtId="0" fontId="2" fillId="0" borderId="6" xfId="0" applyFont="1" applyBorder="1" applyAlignment="1" applyProtection="1">
      <alignment horizontal="center" vertical="center"/>
      <protection locked="0"/>
    </xf>
    <xf numFmtId="0" fontId="2" fillId="7" borderId="65" xfId="0" applyFont="1" applyFill="1" applyBorder="1" applyAlignment="1">
      <alignment horizontal="center" textRotation="180" shrinkToFit="1"/>
    </xf>
    <xf numFmtId="0" fontId="2" fillId="7" borderId="66" xfId="0" applyFont="1" applyFill="1" applyBorder="1" applyAlignment="1">
      <alignment horizontal="center" textRotation="180" shrinkToFit="1"/>
    </xf>
    <xf numFmtId="0" fontId="2" fillId="7" borderId="67" xfId="0" applyFont="1" applyFill="1" applyBorder="1" applyAlignment="1">
      <alignment horizontal="center" textRotation="180" shrinkToFit="1"/>
    </xf>
    <xf numFmtId="0" fontId="8" fillId="0" borderId="10" xfId="0" applyFont="1" applyBorder="1"/>
    <xf numFmtId="0" fontId="6" fillId="0" borderId="8" xfId="0" applyFont="1" applyBorder="1" applyAlignment="1">
      <alignment horizontal="center" vertical="center"/>
    </xf>
    <xf numFmtId="0" fontId="6" fillId="0" borderId="13" xfId="0" applyFont="1" applyBorder="1" applyAlignment="1">
      <alignment horizontal="center" vertical="center"/>
    </xf>
    <xf numFmtId="0" fontId="6" fillId="0" borderId="6" xfId="0" applyFont="1" applyBorder="1" applyAlignment="1">
      <alignment horizontal="center" vertical="center" wrapText="1"/>
    </xf>
    <xf numFmtId="10" fontId="6" fillId="0" borderId="0" xfId="0" applyNumberFormat="1" applyFont="1" applyAlignment="1">
      <alignment vertical="center"/>
    </xf>
    <xf numFmtId="0" fontId="6" fillId="0" borderId="13" xfId="0" applyFont="1" applyBorder="1" applyAlignment="1">
      <alignment horizontal="center" vertical="center" wrapText="1"/>
    </xf>
    <xf numFmtId="0" fontId="8" fillId="0" borderId="13" xfId="0" applyFont="1" applyBorder="1" applyAlignment="1" applyProtection="1">
      <alignment horizontal="center" vertical="center"/>
      <protection locked="0"/>
    </xf>
    <xf numFmtId="0" fontId="8" fillId="0" borderId="13" xfId="0" applyFont="1" applyBorder="1" applyProtection="1">
      <protection locked="0"/>
    </xf>
    <xf numFmtId="0" fontId="5" fillId="16" borderId="13" xfId="0" applyFont="1" applyFill="1" applyBorder="1" applyAlignment="1">
      <alignment horizontal="right"/>
    </xf>
    <xf numFmtId="0" fontId="2" fillId="10" borderId="68" xfId="0" applyFont="1" applyFill="1" applyBorder="1" applyAlignment="1">
      <alignment horizontal="center" vertical="center" wrapText="1"/>
    </xf>
    <xf numFmtId="10" fontId="6" fillId="0" borderId="13" xfId="0" applyNumberFormat="1" applyFont="1" applyBorder="1" applyAlignment="1">
      <alignment vertical="center"/>
    </xf>
    <xf numFmtId="10" fontId="10" fillId="6" borderId="68" xfId="0" applyNumberFormat="1" applyFont="1" applyFill="1" applyBorder="1" applyAlignment="1" applyProtection="1">
      <alignment horizontal="center" vertical="center"/>
      <protection locked="0"/>
    </xf>
    <xf numFmtId="0" fontId="8" fillId="16" borderId="18" xfId="0" applyFont="1" applyFill="1" applyBorder="1" applyAlignment="1">
      <alignment horizontal="right" vertical="center"/>
    </xf>
    <xf numFmtId="0" fontId="8" fillId="16" borderId="22" xfId="0" applyFont="1" applyFill="1" applyBorder="1" applyAlignment="1">
      <alignment horizontal="right" vertical="center"/>
    </xf>
    <xf numFmtId="44" fontId="8" fillId="0" borderId="9" xfId="0" applyNumberFormat="1" applyFont="1" applyBorder="1" applyAlignment="1">
      <alignment horizontal="center" vertical="center"/>
    </xf>
    <xf numFmtId="44" fontId="8" fillId="0" borderId="2" xfId="0" applyNumberFormat="1" applyFont="1" applyBorder="1" applyAlignment="1">
      <alignment horizontal="center" vertical="center"/>
    </xf>
    <xf numFmtId="10" fontId="5" fillId="0" borderId="45" xfId="0" applyNumberFormat="1" applyFont="1" applyBorder="1" applyAlignment="1" applyProtection="1">
      <alignment horizontal="center" vertical="center" wrapText="1"/>
      <protection locked="0"/>
    </xf>
    <xf numFmtId="44" fontId="8" fillId="0" borderId="6" xfId="0" applyNumberFormat="1" applyFont="1" applyBorder="1" applyAlignment="1">
      <alignment horizontal="center" vertical="center"/>
    </xf>
    <xf numFmtId="0" fontId="8" fillId="0" borderId="12" xfId="0" applyFont="1" applyBorder="1"/>
    <xf numFmtId="0" fontId="8" fillId="0" borderId="4" xfId="0" applyFont="1" applyBorder="1"/>
    <xf numFmtId="44" fontId="8" fillId="0" borderId="6" xfId="0" applyNumberFormat="1" applyFont="1" applyBorder="1" applyAlignment="1" applyProtection="1">
      <alignment horizontal="center" vertical="center"/>
      <protection locked="0"/>
    </xf>
    <xf numFmtId="44" fontId="8" fillId="0" borderId="9" xfId="0" applyNumberFormat="1" applyFont="1" applyBorder="1" applyAlignment="1" applyProtection="1">
      <alignment horizontal="center" vertical="center"/>
      <protection locked="0"/>
    </xf>
    <xf numFmtId="44" fontId="8" fillId="0" borderId="2" xfId="0" applyNumberFormat="1" applyFont="1" applyBorder="1" applyAlignment="1" applyProtection="1">
      <alignment horizontal="center" vertical="center"/>
      <protection locked="0"/>
    </xf>
    <xf numFmtId="10" fontId="6" fillId="0" borderId="8" xfId="0" applyNumberFormat="1" applyFont="1" applyBorder="1" applyAlignment="1">
      <alignment vertical="center"/>
    </xf>
    <xf numFmtId="0" fontId="12" fillId="0" borderId="0" xfId="0" applyFont="1"/>
    <xf numFmtId="44" fontId="10" fillId="0" borderId="56" xfId="0" applyNumberFormat="1" applyFont="1" applyBorder="1" applyAlignment="1">
      <alignment horizontal="center" vertical="center"/>
    </xf>
    <xf numFmtId="44" fontId="10" fillId="0" borderId="47" xfId="0" applyNumberFormat="1" applyFont="1" applyBorder="1" applyAlignment="1">
      <alignment horizontal="center" vertical="center"/>
    </xf>
    <xf numFmtId="44" fontId="10" fillId="0" borderId="46" xfId="0" applyNumberFormat="1" applyFont="1" applyBorder="1" applyAlignment="1">
      <alignment horizontal="center" vertical="center"/>
    </xf>
    <xf numFmtId="44" fontId="10" fillId="0" borderId="56" xfId="0" applyNumberFormat="1" applyFont="1" applyBorder="1" applyAlignment="1" applyProtection="1">
      <alignment horizontal="center" vertical="center"/>
      <protection locked="0"/>
    </xf>
    <xf numFmtId="44" fontId="10" fillId="0" borderId="46" xfId="0" applyNumberFormat="1" applyFont="1" applyBorder="1" applyAlignment="1" applyProtection="1">
      <alignment horizontal="center" vertical="center"/>
      <protection locked="0"/>
    </xf>
    <xf numFmtId="44" fontId="10" fillId="0" borderId="47" xfId="0" applyNumberFormat="1" applyFont="1" applyBorder="1" applyAlignment="1" applyProtection="1">
      <alignment horizontal="center" vertical="center"/>
      <protection locked="0"/>
    </xf>
    <xf numFmtId="44" fontId="10" fillId="0" borderId="17" xfId="0" applyNumberFormat="1" applyFont="1" applyBorder="1" applyAlignment="1">
      <alignment horizontal="center" vertical="center"/>
    </xf>
    <xf numFmtId="44" fontId="10" fillId="0" borderId="11" xfId="0" applyNumberFormat="1" applyFont="1" applyBorder="1" applyAlignment="1">
      <alignment horizontal="center" vertical="center"/>
    </xf>
    <xf numFmtId="0" fontId="11" fillId="0" borderId="25" xfId="0" applyFont="1" applyBorder="1" applyAlignment="1">
      <alignment horizontal="right" vertical="center"/>
    </xf>
    <xf numFmtId="0" fontId="11" fillId="0" borderId="30" xfId="0" applyFont="1" applyBorder="1" applyAlignment="1">
      <alignment horizontal="right" vertical="center"/>
    </xf>
    <xf numFmtId="10" fontId="8" fillId="0" borderId="13" xfId="0" applyNumberFormat="1" applyFont="1" applyBorder="1" applyAlignment="1">
      <alignment horizontal="center" vertical="center"/>
    </xf>
    <xf numFmtId="10" fontId="8" fillId="0" borderId="1" xfId="0" applyNumberFormat="1" applyFont="1" applyBorder="1" applyAlignment="1">
      <alignment horizontal="center" vertical="center"/>
    </xf>
    <xf numFmtId="10" fontId="16" fillId="10" borderId="48" xfId="2" applyNumberFormat="1" applyFont="1" applyFill="1" applyBorder="1" applyAlignment="1" applyProtection="1">
      <alignment horizontal="center" vertical="center"/>
      <protection locked="0"/>
    </xf>
    <xf numFmtId="0" fontId="2" fillId="0" borderId="33" xfId="0" applyFont="1" applyBorder="1" applyAlignment="1">
      <alignment horizontal="center" vertical="center"/>
    </xf>
    <xf numFmtId="0" fontId="3" fillId="0" borderId="1" xfId="0" applyFont="1" applyBorder="1" applyAlignment="1">
      <alignment horizontal="center" vertical="center"/>
    </xf>
    <xf numFmtId="0" fontId="30" fillId="0" borderId="0" xfId="0" applyFont="1" applyAlignment="1">
      <alignment horizontal="right"/>
    </xf>
    <xf numFmtId="44" fontId="2" fillId="0" borderId="0" xfId="1" applyFont="1" applyProtection="1"/>
    <xf numFmtId="9" fontId="2" fillId="0" borderId="0" xfId="2" applyFont="1" applyProtection="1"/>
    <xf numFmtId="44" fontId="2" fillId="0" borderId="34" xfId="0" applyNumberFormat="1" applyFont="1" applyBorder="1" applyAlignment="1">
      <alignment horizontal="center" vertical="center"/>
    </xf>
    <xf numFmtId="44" fontId="5" fillId="10" borderId="24" xfId="0" applyNumberFormat="1" applyFont="1" applyFill="1" applyBorder="1" applyAlignment="1">
      <alignment horizontal="center" vertical="center"/>
    </xf>
    <xf numFmtId="0" fontId="2" fillId="15" borderId="28" xfId="0" applyFont="1" applyFill="1" applyBorder="1" applyAlignment="1">
      <alignment horizontal="center"/>
    </xf>
    <xf numFmtId="0" fontId="2" fillId="13" borderId="45" xfId="0" applyFont="1" applyFill="1" applyBorder="1" applyAlignment="1">
      <alignment horizontal="center"/>
    </xf>
    <xf numFmtId="0" fontId="2" fillId="2" borderId="42" xfId="0" applyFont="1" applyFill="1" applyBorder="1" applyAlignment="1">
      <alignment horizontal="center" textRotation="180" shrinkToFit="1"/>
    </xf>
    <xf numFmtId="0" fontId="2" fillId="2" borderId="46" xfId="0" applyFont="1" applyFill="1" applyBorder="1" applyAlignment="1">
      <alignment horizontal="center" textRotation="180" wrapText="1" shrinkToFit="1"/>
    </xf>
    <xf numFmtId="0" fontId="3" fillId="17" borderId="26" xfId="0" applyFont="1" applyFill="1" applyBorder="1" applyAlignment="1">
      <alignment horizontal="center" vertical="center" wrapText="1" shrinkToFit="1"/>
    </xf>
    <xf numFmtId="0" fontId="5" fillId="17" borderId="27" xfId="0" applyFont="1" applyFill="1" applyBorder="1" applyAlignment="1">
      <alignment horizontal="center" vertical="center" wrapText="1" shrinkToFit="1"/>
    </xf>
    <xf numFmtId="0" fontId="2" fillId="16" borderId="0" xfId="0" applyFont="1" applyFill="1" applyAlignment="1">
      <alignment horizontal="left"/>
    </xf>
    <xf numFmtId="0" fontId="2" fillId="16" borderId="0" xfId="0" applyFont="1" applyFill="1"/>
    <xf numFmtId="2" fontId="2" fillId="16" borderId="1" xfId="0" applyNumberFormat="1" applyFont="1" applyFill="1" applyBorder="1" applyAlignment="1">
      <alignment horizontal="center"/>
    </xf>
    <xf numFmtId="44" fontId="2" fillId="16" borderId="1" xfId="0" applyNumberFormat="1" applyFont="1" applyFill="1" applyBorder="1"/>
    <xf numFmtId="0" fontId="18" fillId="0" borderId="0" xfId="0" applyFont="1" applyAlignment="1">
      <alignment horizontal="right" indent="1"/>
    </xf>
    <xf numFmtId="0" fontId="4" fillId="7" borderId="0" xfId="0" applyFont="1" applyFill="1" applyAlignment="1">
      <alignment horizontal="right"/>
    </xf>
    <xf numFmtId="0" fontId="2" fillId="20" borderId="0" xfId="0" applyFont="1" applyFill="1" applyAlignment="1">
      <alignment horizontal="left"/>
    </xf>
    <xf numFmtId="0" fontId="2" fillId="20" borderId="0" xfId="0" applyFont="1" applyFill="1"/>
    <xf numFmtId="2" fontId="2" fillId="20" borderId="1" xfId="0" applyNumberFormat="1" applyFont="1" applyFill="1" applyBorder="1" applyAlignment="1">
      <alignment horizontal="center"/>
    </xf>
    <xf numFmtId="44" fontId="2" fillId="20" borderId="1" xfId="0" applyNumberFormat="1" applyFont="1" applyFill="1" applyBorder="1"/>
    <xf numFmtId="0" fontId="2" fillId="15" borderId="1" xfId="0" applyFont="1" applyFill="1" applyBorder="1" applyAlignment="1">
      <alignment horizontal="center"/>
    </xf>
    <xf numFmtId="0" fontId="2" fillId="15" borderId="1" xfId="0" applyFont="1" applyFill="1" applyBorder="1" applyAlignment="1">
      <alignment horizontal="center" vertical="center"/>
    </xf>
    <xf numFmtId="44" fontId="2" fillId="0" borderId="1" xfId="1" applyFont="1" applyBorder="1" applyAlignment="1" applyProtection="1">
      <alignment horizontal="center"/>
      <protection locked="0"/>
    </xf>
    <xf numFmtId="0" fontId="2" fillId="20" borderId="11" xfId="0" applyFont="1" applyFill="1" applyBorder="1" applyAlignment="1" applyProtection="1">
      <alignment horizontal="center"/>
      <protection locked="0"/>
    </xf>
    <xf numFmtId="0" fontId="2" fillId="16" borderId="11" xfId="0" applyFont="1" applyFill="1" applyBorder="1" applyAlignment="1" applyProtection="1">
      <alignment horizontal="center"/>
      <protection locked="0"/>
    </xf>
    <xf numFmtId="0" fontId="8" fillId="0" borderId="3" xfId="0" applyFont="1" applyBorder="1" applyAlignment="1">
      <alignment horizontal="right" vertical="center"/>
    </xf>
    <xf numFmtId="0" fontId="8" fillId="6" borderId="68" xfId="0" applyFont="1" applyFill="1" applyBorder="1" applyAlignment="1">
      <alignment horizontal="center" vertical="center" wrapText="1"/>
    </xf>
    <xf numFmtId="165" fontId="20" fillId="0" borderId="31" xfId="0" applyNumberFormat="1" applyFont="1" applyBorder="1" applyAlignment="1" applyProtection="1">
      <alignment horizontal="center" vertical="center"/>
      <protection locked="0"/>
    </xf>
    <xf numFmtId="0" fontId="8" fillId="0" borderId="26" xfId="0" applyFont="1" applyBorder="1" applyAlignment="1" applyProtection="1">
      <alignment horizontal="center" vertical="center"/>
      <protection locked="0"/>
    </xf>
    <xf numFmtId="0" fontId="11" fillId="6" borderId="63" xfId="0" applyFont="1" applyFill="1" applyBorder="1" applyAlignment="1">
      <alignment horizontal="center" vertical="center"/>
    </xf>
    <xf numFmtId="0" fontId="11" fillId="6" borderId="68" xfId="0" applyFont="1" applyFill="1" applyBorder="1" applyAlignment="1">
      <alignment horizontal="center" vertical="center"/>
    </xf>
    <xf numFmtId="0" fontId="16" fillId="16" borderId="63" xfId="0" applyFont="1" applyFill="1" applyBorder="1" applyAlignment="1">
      <alignment horizontal="center" vertical="center"/>
    </xf>
    <xf numFmtId="0" fontId="16" fillId="16" borderId="68" xfId="0" applyFont="1" applyFill="1" applyBorder="1" applyAlignment="1">
      <alignment horizontal="center" vertical="center"/>
    </xf>
    <xf numFmtId="0" fontId="16" fillId="19" borderId="63" xfId="0" applyFont="1" applyFill="1" applyBorder="1" applyAlignment="1">
      <alignment horizontal="center" vertical="center"/>
    </xf>
    <xf numFmtId="0" fontId="16" fillId="19" borderId="68" xfId="0" applyFont="1" applyFill="1" applyBorder="1" applyAlignment="1">
      <alignment horizontal="center" vertical="center"/>
    </xf>
    <xf numFmtId="0" fontId="2" fillId="16" borderId="26" xfId="0" applyFont="1" applyFill="1" applyBorder="1" applyAlignment="1">
      <alignment horizontal="center" vertical="center"/>
    </xf>
    <xf numFmtId="0" fontId="2" fillId="16" borderId="31" xfId="0" applyFont="1" applyFill="1" applyBorder="1" applyAlignment="1">
      <alignment horizontal="center" vertical="center"/>
    </xf>
    <xf numFmtId="10" fontId="22" fillId="16" borderId="26" xfId="0" applyNumberFormat="1" applyFont="1" applyFill="1" applyBorder="1" applyAlignment="1" applyProtection="1">
      <alignment horizontal="center" vertical="center"/>
      <protection locked="0"/>
    </xf>
    <xf numFmtId="10" fontId="22" fillId="16" borderId="31" xfId="0" applyNumberFormat="1" applyFont="1" applyFill="1" applyBorder="1" applyAlignment="1" applyProtection="1">
      <alignment horizontal="center" vertical="center"/>
      <protection locked="0"/>
    </xf>
    <xf numFmtId="0" fontId="10" fillId="19" borderId="60" xfId="0" applyFont="1" applyFill="1" applyBorder="1" applyAlignment="1">
      <alignment horizontal="center" vertical="center"/>
    </xf>
    <xf numFmtId="0" fontId="10" fillId="19" borderId="43" xfId="0" applyFont="1" applyFill="1" applyBorder="1" applyAlignment="1">
      <alignment horizontal="center" vertical="center"/>
    </xf>
    <xf numFmtId="0" fontId="10" fillId="19" borderId="69" xfId="0" applyFont="1" applyFill="1" applyBorder="1" applyAlignment="1">
      <alignment horizontal="center" vertical="center"/>
    </xf>
    <xf numFmtId="0" fontId="7" fillId="0" borderId="9" xfId="0" applyFont="1" applyBorder="1" applyAlignment="1">
      <alignment horizontal="right" vertical="center"/>
    </xf>
    <xf numFmtId="0" fontId="7" fillId="0" borderId="61" xfId="0" applyFont="1" applyBorder="1" applyAlignment="1">
      <alignment horizontal="right" vertical="center"/>
    </xf>
    <xf numFmtId="0" fontId="7" fillId="0" borderId="12" xfId="0" applyFont="1" applyBorder="1" applyAlignment="1">
      <alignment horizontal="right" vertical="center"/>
    </xf>
    <xf numFmtId="0" fontId="7" fillId="0" borderId="34" xfId="0" applyFont="1" applyBorder="1" applyAlignment="1">
      <alignment horizontal="right" vertical="center"/>
    </xf>
    <xf numFmtId="0" fontId="7" fillId="0" borderId="35" xfId="0" applyFont="1" applyBorder="1" applyAlignment="1">
      <alignment horizontal="right" vertical="center"/>
    </xf>
    <xf numFmtId="0" fontId="7" fillId="0" borderId="33" xfId="0" applyFont="1" applyBorder="1" applyAlignment="1">
      <alignment horizontal="right" vertical="center"/>
    </xf>
    <xf numFmtId="0" fontId="2" fillId="10" borderId="26" xfId="0" applyFont="1" applyFill="1" applyBorder="1" applyAlignment="1">
      <alignment horizontal="center" vertical="center" wrapText="1"/>
    </xf>
    <xf numFmtId="0" fontId="2" fillId="10" borderId="31" xfId="0" applyFont="1" applyFill="1" applyBorder="1" applyAlignment="1">
      <alignment horizontal="center" vertical="center" wrapText="1"/>
    </xf>
    <xf numFmtId="10" fontId="16" fillId="10" borderId="27" xfId="0" applyNumberFormat="1" applyFont="1" applyFill="1" applyBorder="1" applyAlignment="1" applyProtection="1">
      <alignment horizontal="center" vertical="center"/>
      <protection locked="0"/>
    </xf>
    <xf numFmtId="10" fontId="16" fillId="10" borderId="32" xfId="0" applyNumberFormat="1" applyFont="1" applyFill="1" applyBorder="1" applyAlignment="1" applyProtection="1">
      <alignment horizontal="center" vertical="center"/>
      <protection locked="0"/>
    </xf>
    <xf numFmtId="0" fontId="5" fillId="0" borderId="13" xfId="0" applyFont="1" applyBorder="1" applyAlignment="1" applyProtection="1">
      <alignment horizontal="center"/>
      <protection locked="0"/>
    </xf>
    <xf numFmtId="0" fontId="5" fillId="0" borderId="1" xfId="0" applyFont="1" applyBorder="1" applyAlignment="1" applyProtection="1">
      <alignment horizontal="center"/>
      <protection locked="0"/>
    </xf>
    <xf numFmtId="0" fontId="23" fillId="0" borderId="9" xfId="0" applyFont="1" applyBorder="1" applyAlignment="1" applyProtection="1">
      <alignment horizontal="left"/>
      <protection locked="0"/>
    </xf>
    <xf numFmtId="0" fontId="23" fillId="0" borderId="12" xfId="0" applyFont="1" applyBorder="1" applyAlignment="1" applyProtection="1">
      <alignment horizontal="left"/>
      <protection locked="0"/>
    </xf>
    <xf numFmtId="0" fontId="8" fillId="16" borderId="68" xfId="0" applyFont="1" applyFill="1" applyBorder="1" applyAlignment="1">
      <alignment horizontal="center" vertical="center"/>
    </xf>
    <xf numFmtId="0" fontId="8" fillId="16" borderId="48" xfId="0" applyFont="1" applyFill="1" applyBorder="1" applyAlignment="1">
      <alignment horizontal="center" vertical="center"/>
    </xf>
    <xf numFmtId="0" fontId="17" fillId="0" borderId="9" xfId="0" applyFont="1" applyBorder="1" applyAlignment="1" applyProtection="1">
      <alignment horizontal="left"/>
      <protection locked="0"/>
    </xf>
    <xf numFmtId="0" fontId="17" fillId="0" borderId="12" xfId="0" applyFont="1" applyBorder="1" applyAlignment="1" applyProtection="1">
      <alignment horizontal="left"/>
      <protection locked="0"/>
    </xf>
    <xf numFmtId="0" fontId="5" fillId="0" borderId="10" xfId="0" applyFont="1" applyBorder="1" applyAlignment="1" applyProtection="1">
      <alignment horizontal="center"/>
      <protection locked="0"/>
    </xf>
    <xf numFmtId="0" fontId="8" fillId="0" borderId="1" xfId="0" applyFont="1" applyBorder="1" applyAlignment="1" applyProtection="1">
      <alignment horizontal="center"/>
      <protection locked="0"/>
    </xf>
    <xf numFmtId="0" fontId="8" fillId="0" borderId="13" xfId="0" applyFont="1" applyBorder="1" applyAlignment="1">
      <alignment horizontal="center" vertical="center"/>
    </xf>
    <xf numFmtId="9" fontId="8" fillId="0" borderId="10" xfId="2" applyFont="1" applyFill="1" applyBorder="1" applyAlignment="1" applyProtection="1">
      <alignment horizontal="center" vertical="center"/>
    </xf>
    <xf numFmtId="9" fontId="8" fillId="0" borderId="14" xfId="2" applyFont="1" applyFill="1" applyBorder="1" applyAlignment="1" applyProtection="1">
      <alignment horizontal="center" vertical="center"/>
    </xf>
    <xf numFmtId="9" fontId="8" fillId="0" borderId="66" xfId="2" applyFont="1" applyFill="1" applyBorder="1" applyAlignment="1" applyProtection="1">
      <alignment horizontal="center" vertical="center"/>
    </xf>
    <xf numFmtId="0" fontId="8" fillId="0" borderId="13" xfId="0" applyFont="1" applyBorder="1" applyAlignment="1" applyProtection="1">
      <alignment horizontal="center"/>
      <protection locked="0"/>
    </xf>
    <xf numFmtId="0" fontId="8" fillId="0" borderId="10" xfId="0" applyFont="1" applyBorder="1" applyAlignment="1" applyProtection="1">
      <alignment horizontal="center"/>
      <protection locked="0"/>
    </xf>
    <xf numFmtId="0" fontId="8" fillId="6" borderId="68" xfId="0" applyFont="1" applyFill="1" applyBorder="1" applyAlignment="1">
      <alignment horizontal="center"/>
    </xf>
    <xf numFmtId="0" fontId="8" fillId="6" borderId="48" xfId="0" applyFont="1" applyFill="1" applyBorder="1" applyAlignment="1">
      <alignment horizontal="center"/>
    </xf>
    <xf numFmtId="0" fontId="2" fillId="0" borderId="9" xfId="0" applyFont="1" applyBorder="1" applyAlignment="1">
      <alignment horizontal="center" vertical="center"/>
    </xf>
    <xf numFmtId="0" fontId="2" fillId="0" borderId="12" xfId="0" applyFont="1" applyBorder="1" applyAlignment="1">
      <alignment horizontal="center" vertical="center"/>
    </xf>
    <xf numFmtId="9" fontId="14" fillId="0" borderId="30" xfId="2" applyFont="1" applyBorder="1" applyAlignment="1">
      <alignment horizontal="center" vertical="center"/>
    </xf>
    <xf numFmtId="9" fontId="14" fillId="0" borderId="31" xfId="2" applyFont="1" applyBorder="1" applyAlignment="1">
      <alignment horizontal="center" vertical="center"/>
    </xf>
    <xf numFmtId="9" fontId="14" fillId="0" borderId="32" xfId="2" applyFont="1" applyBorder="1" applyAlignment="1">
      <alignment horizontal="center" vertical="center"/>
    </xf>
    <xf numFmtId="0" fontId="3" fillId="18" borderId="50" xfId="0" applyFont="1" applyFill="1" applyBorder="1" applyAlignment="1">
      <alignment horizontal="center" vertical="center"/>
    </xf>
    <xf numFmtId="0" fontId="3" fillId="18" borderId="43" xfId="0" applyFont="1" applyFill="1" applyBorder="1" applyAlignment="1">
      <alignment horizontal="center" vertical="center"/>
    </xf>
    <xf numFmtId="0" fontId="3" fillId="18" borderId="51" xfId="0" applyFont="1" applyFill="1" applyBorder="1" applyAlignment="1">
      <alignment horizontal="center" vertical="center"/>
    </xf>
    <xf numFmtId="0" fontId="5" fillId="18" borderId="2" xfId="0" applyFont="1" applyFill="1" applyBorder="1" applyAlignment="1">
      <alignment horizontal="center" vertical="center"/>
    </xf>
    <xf numFmtId="0" fontId="5" fillId="18" borderId="3" xfId="0" applyFont="1" applyFill="1" applyBorder="1" applyAlignment="1">
      <alignment horizontal="center" vertical="center"/>
    </xf>
    <xf numFmtId="0" fontId="5" fillId="18" borderId="4"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40" xfId="0" applyFont="1" applyBorder="1" applyAlignment="1" applyProtection="1">
      <alignment horizontal="left" vertical="top"/>
      <protection locked="0"/>
    </xf>
    <xf numFmtId="0" fontId="3" fillId="0" borderId="3" xfId="0" applyFont="1" applyBorder="1" applyAlignment="1" applyProtection="1">
      <alignment horizontal="left" vertical="top"/>
      <protection locked="0"/>
    </xf>
    <xf numFmtId="0" fontId="3" fillId="0" borderId="4" xfId="0" applyFont="1" applyBorder="1" applyAlignment="1" applyProtection="1">
      <alignment horizontal="left" vertical="top"/>
      <protection locked="0"/>
    </xf>
    <xf numFmtId="0" fontId="3" fillId="0" borderId="38" xfId="0" applyFont="1" applyBorder="1" applyAlignment="1" applyProtection="1">
      <alignment horizontal="left" vertical="top"/>
      <protection locked="0"/>
    </xf>
    <xf numFmtId="0" fontId="3" fillId="0" borderId="0" xfId="0" applyFont="1" applyAlignment="1" applyProtection="1">
      <alignment horizontal="left" vertical="top"/>
      <protection locked="0"/>
    </xf>
    <xf numFmtId="0" fontId="3" fillId="0" borderId="5" xfId="0" applyFont="1" applyBorder="1" applyAlignment="1" applyProtection="1">
      <alignment horizontal="left" vertical="top"/>
      <protection locked="0"/>
    </xf>
    <xf numFmtId="0" fontId="3" fillId="0" borderId="21" xfId="0" applyFont="1" applyBorder="1" applyAlignment="1" applyProtection="1">
      <alignment horizontal="left" vertical="top"/>
      <protection locked="0"/>
    </xf>
    <xf numFmtId="0" fontId="3" fillId="0" borderId="22" xfId="0" applyFont="1" applyBorder="1" applyAlignment="1" applyProtection="1">
      <alignment horizontal="left" vertical="top"/>
      <protection locked="0"/>
    </xf>
    <xf numFmtId="0" fontId="3" fillId="0" borderId="41" xfId="0" applyFont="1" applyBorder="1" applyAlignment="1" applyProtection="1">
      <alignment horizontal="left" vertical="top"/>
      <protection locked="0"/>
    </xf>
    <xf numFmtId="0" fontId="3" fillId="4" borderId="18" xfId="0" applyFont="1" applyFill="1" applyBorder="1" applyAlignment="1">
      <alignment horizontal="center" textRotation="180" shrinkToFit="1"/>
    </xf>
    <xf numFmtId="0" fontId="3" fillId="4" borderId="0" xfId="0" applyFont="1" applyFill="1" applyAlignment="1">
      <alignment horizontal="center" textRotation="180" shrinkToFit="1"/>
    </xf>
    <xf numFmtId="0" fontId="3" fillId="4" borderId="22" xfId="0" applyFont="1" applyFill="1" applyBorder="1" applyAlignment="1">
      <alignment horizontal="center" textRotation="180" shrinkToFit="1"/>
    </xf>
    <xf numFmtId="0" fontId="2" fillId="0" borderId="34" xfId="0" applyFont="1" applyBorder="1" applyAlignment="1">
      <alignment horizontal="center" vertical="center"/>
    </xf>
    <xf numFmtId="0" fontId="2" fillId="0" borderId="33" xfId="0" applyFont="1" applyBorder="1" applyAlignment="1">
      <alignment horizontal="center" vertical="center"/>
    </xf>
    <xf numFmtId="0" fontId="3" fillId="0" borderId="1" xfId="0" applyFont="1" applyBorder="1" applyAlignment="1">
      <alignment horizontal="center" vertical="center"/>
    </xf>
    <xf numFmtId="0" fontId="3" fillId="8" borderId="1" xfId="0" applyFont="1" applyFill="1" applyBorder="1" applyAlignment="1">
      <alignment horizontal="center" vertical="center"/>
    </xf>
    <xf numFmtId="0" fontId="3" fillId="8" borderId="37" xfId="0" applyFont="1" applyFill="1" applyBorder="1" applyAlignment="1">
      <alignment horizontal="center" vertical="center"/>
    </xf>
    <xf numFmtId="0" fontId="5" fillId="3" borderId="15" xfId="0" applyFont="1" applyFill="1" applyBorder="1" applyAlignment="1">
      <alignment horizontal="center"/>
    </xf>
    <xf numFmtId="0" fontId="5" fillId="3" borderId="16" xfId="0" applyFont="1" applyFill="1" applyBorder="1" applyAlignment="1">
      <alignment horizontal="center"/>
    </xf>
    <xf numFmtId="0" fontId="5" fillId="3" borderId="17" xfId="0" applyFont="1" applyFill="1" applyBorder="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xf numFmtId="0" fontId="3" fillId="0" borderId="17" xfId="0" applyFont="1" applyBorder="1" applyAlignment="1">
      <alignment horizontal="center"/>
    </xf>
    <xf numFmtId="0" fontId="2" fillId="0" borderId="19" xfId="0" applyFont="1" applyBorder="1" applyAlignment="1" applyProtection="1">
      <alignment horizontal="left" vertical="top"/>
      <protection locked="0"/>
    </xf>
    <xf numFmtId="0" fontId="2" fillId="0" borderId="18" xfId="0" applyFont="1" applyBorder="1" applyAlignment="1" applyProtection="1">
      <alignment horizontal="left" vertical="top"/>
      <protection locked="0"/>
    </xf>
    <xf numFmtId="0" fontId="2" fillId="0" borderId="20" xfId="0" applyFont="1" applyBorder="1" applyAlignment="1" applyProtection="1">
      <alignment horizontal="left" vertical="top"/>
      <protection locked="0"/>
    </xf>
    <xf numFmtId="0" fontId="2" fillId="0" borderId="21" xfId="0" applyFont="1" applyBorder="1" applyAlignment="1" applyProtection="1">
      <alignment horizontal="left" vertical="top"/>
      <protection locked="0"/>
    </xf>
    <xf numFmtId="0" fontId="2" fillId="0" borderId="22" xfId="0" applyFont="1" applyBorder="1" applyAlignment="1" applyProtection="1">
      <alignment horizontal="left" vertical="top"/>
      <protection locked="0"/>
    </xf>
    <xf numFmtId="0" fontId="2" fillId="0" borderId="23" xfId="0" applyFont="1" applyBorder="1" applyAlignment="1" applyProtection="1">
      <alignment horizontal="left" vertical="top"/>
      <protection locked="0"/>
    </xf>
    <xf numFmtId="0" fontId="3" fillId="3" borderId="25" xfId="0" applyFont="1" applyFill="1" applyBorder="1" applyAlignment="1">
      <alignment horizontal="center"/>
    </xf>
    <xf numFmtId="0" fontId="3" fillId="3" borderId="26" xfId="0" applyFont="1" applyFill="1" applyBorder="1" applyAlignment="1">
      <alignment horizontal="center"/>
    </xf>
    <xf numFmtId="0" fontId="3" fillId="3" borderId="27" xfId="0" applyFont="1" applyFill="1" applyBorder="1" applyAlignment="1">
      <alignment horizontal="center"/>
    </xf>
    <xf numFmtId="0" fontId="25" fillId="0" borderId="38" xfId="0" applyFont="1" applyBorder="1" applyAlignment="1">
      <alignment horizontal="center"/>
    </xf>
    <xf numFmtId="0" fontId="25" fillId="0" borderId="0" xfId="0" applyFont="1" applyAlignment="1">
      <alignment horizontal="center"/>
    </xf>
    <xf numFmtId="0" fontId="3" fillId="14" borderId="25" xfId="0" applyFont="1" applyFill="1" applyBorder="1" applyAlignment="1">
      <alignment horizontal="center"/>
    </xf>
    <xf numFmtId="0" fontId="3" fillId="14" borderId="26" xfId="0" applyFont="1" applyFill="1" applyBorder="1" applyAlignment="1">
      <alignment horizontal="center"/>
    </xf>
    <xf numFmtId="0" fontId="3" fillId="14" borderId="27" xfId="0" applyFont="1" applyFill="1" applyBorder="1" applyAlignment="1">
      <alignment horizontal="center"/>
    </xf>
    <xf numFmtId="0" fontId="5" fillId="14" borderId="15" xfId="0" applyFont="1" applyFill="1" applyBorder="1" applyAlignment="1">
      <alignment horizontal="center"/>
    </xf>
    <xf numFmtId="0" fontId="5" fillId="14" borderId="16" xfId="0" applyFont="1" applyFill="1" applyBorder="1" applyAlignment="1">
      <alignment horizontal="center"/>
    </xf>
    <xf numFmtId="0" fontId="5" fillId="14" borderId="17" xfId="0" applyFont="1" applyFill="1" applyBorder="1" applyAlignment="1">
      <alignment horizontal="center"/>
    </xf>
    <xf numFmtId="0" fontId="2" fillId="14" borderId="28" xfId="0" applyFont="1" applyFill="1" applyBorder="1" applyAlignment="1">
      <alignment horizontal="center"/>
    </xf>
    <xf numFmtId="0" fontId="2" fillId="14" borderId="13" xfId="0" applyFont="1" applyFill="1" applyBorder="1" applyAlignment="1">
      <alignment horizontal="center"/>
    </xf>
    <xf numFmtId="0" fontId="2" fillId="14" borderId="29" xfId="0" applyFont="1" applyFill="1" applyBorder="1" applyAlignment="1">
      <alignment horizontal="center"/>
    </xf>
    <xf numFmtId="0" fontId="2" fillId="16" borderId="28" xfId="0" applyFont="1" applyFill="1" applyBorder="1" applyAlignment="1">
      <alignment horizontal="center"/>
    </xf>
    <xf numFmtId="0" fontId="2" fillId="16" borderId="13" xfId="0" applyFont="1" applyFill="1" applyBorder="1" applyAlignment="1">
      <alignment horizontal="center"/>
    </xf>
    <xf numFmtId="0" fontId="2" fillId="16" borderId="29" xfId="0" applyFont="1" applyFill="1" applyBorder="1" applyAlignment="1">
      <alignment horizontal="center"/>
    </xf>
    <xf numFmtId="0" fontId="5" fillId="13" borderId="21" xfId="0" applyFont="1" applyFill="1" applyBorder="1" applyAlignment="1">
      <alignment horizontal="center"/>
    </xf>
    <xf numFmtId="0" fontId="5" fillId="13" borderId="22" xfId="0" applyFont="1" applyFill="1" applyBorder="1" applyAlignment="1">
      <alignment horizontal="center"/>
    </xf>
    <xf numFmtId="0" fontId="5" fillId="13" borderId="23" xfId="0" applyFont="1" applyFill="1" applyBorder="1" applyAlignment="1">
      <alignment horizontal="center"/>
    </xf>
    <xf numFmtId="0" fontId="2" fillId="16" borderId="15" xfId="0" applyFont="1" applyFill="1" applyBorder="1" applyAlignment="1">
      <alignment horizontal="center"/>
    </xf>
    <xf numFmtId="0" fontId="2" fillId="16" borderId="16" xfId="0" applyFont="1" applyFill="1" applyBorder="1" applyAlignment="1">
      <alignment horizontal="center"/>
    </xf>
    <xf numFmtId="0" fontId="2" fillId="16" borderId="17" xfId="0" applyFont="1" applyFill="1" applyBorder="1" applyAlignment="1">
      <alignment horizontal="center"/>
    </xf>
    <xf numFmtId="0" fontId="5" fillId="12" borderId="15" xfId="0" applyFont="1" applyFill="1" applyBorder="1" applyAlignment="1">
      <alignment horizontal="center"/>
    </xf>
    <xf numFmtId="0" fontId="5" fillId="12" borderId="16" xfId="0" applyFont="1" applyFill="1" applyBorder="1" applyAlignment="1">
      <alignment horizontal="center"/>
    </xf>
    <xf numFmtId="0" fontId="5" fillId="12" borderId="17" xfId="0" applyFont="1" applyFill="1" applyBorder="1" applyAlignment="1">
      <alignment horizontal="center"/>
    </xf>
    <xf numFmtId="0" fontId="5" fillId="13" borderId="0" xfId="0" applyFont="1" applyFill="1" applyAlignment="1">
      <alignment horizontal="center"/>
    </xf>
    <xf numFmtId="9" fontId="14" fillId="0" borderId="44" xfId="2" applyFont="1" applyBorder="1" applyAlignment="1">
      <alignment horizontal="center" vertical="center"/>
    </xf>
    <xf numFmtId="9" fontId="14" fillId="0" borderId="35" xfId="2" applyFont="1" applyBorder="1" applyAlignment="1">
      <alignment horizontal="center" vertical="center"/>
    </xf>
    <xf numFmtId="9" fontId="14" fillId="0" borderId="52" xfId="2" applyFont="1" applyBorder="1" applyAlignment="1">
      <alignment horizontal="center" vertical="center"/>
    </xf>
    <xf numFmtId="0" fontId="3" fillId="12" borderId="25" xfId="0" applyFont="1" applyFill="1" applyBorder="1" applyAlignment="1">
      <alignment horizontal="center"/>
    </xf>
    <xf numFmtId="0" fontId="3" fillId="12" borderId="26" xfId="0" applyFont="1" applyFill="1" applyBorder="1" applyAlignment="1">
      <alignment horizontal="center"/>
    </xf>
    <xf numFmtId="0" fontId="3" fillId="12" borderId="27" xfId="0" applyFont="1" applyFill="1" applyBorder="1" applyAlignment="1">
      <alignment horizontal="center"/>
    </xf>
    <xf numFmtId="0" fontId="5" fillId="4" borderId="15" xfId="0" applyFont="1" applyFill="1" applyBorder="1" applyAlignment="1">
      <alignment horizontal="center"/>
    </xf>
    <xf numFmtId="0" fontId="5" fillId="4" borderId="16" xfId="0" applyFont="1" applyFill="1" applyBorder="1" applyAlignment="1">
      <alignment horizontal="center"/>
    </xf>
    <xf numFmtId="0" fontId="5" fillId="4" borderId="17" xfId="0" applyFont="1" applyFill="1" applyBorder="1" applyAlignment="1">
      <alignment horizontal="center"/>
    </xf>
    <xf numFmtId="0" fontId="5" fillId="15" borderId="15" xfId="0" applyFont="1" applyFill="1" applyBorder="1" applyAlignment="1">
      <alignment horizontal="center"/>
    </xf>
    <xf numFmtId="0" fontId="5" fillId="15" borderId="16" xfId="0" applyFont="1" applyFill="1" applyBorder="1" applyAlignment="1">
      <alignment horizontal="center"/>
    </xf>
    <xf numFmtId="0" fontId="5" fillId="15" borderId="17" xfId="0" applyFont="1" applyFill="1" applyBorder="1" applyAlignment="1">
      <alignment horizontal="center"/>
    </xf>
    <xf numFmtId="0" fontId="5" fillId="15" borderId="21" xfId="0" applyFont="1" applyFill="1" applyBorder="1" applyAlignment="1">
      <alignment horizontal="center"/>
    </xf>
    <xf numFmtId="0" fontId="5" fillId="15" borderId="22" xfId="0" applyFont="1" applyFill="1" applyBorder="1" applyAlignment="1">
      <alignment horizontal="center"/>
    </xf>
    <xf numFmtId="0" fontId="5" fillId="15" borderId="23" xfId="0" applyFont="1" applyFill="1" applyBorder="1" applyAlignment="1">
      <alignment horizontal="center"/>
    </xf>
    <xf numFmtId="9" fontId="14" fillId="0" borderId="44" xfId="2" applyFont="1" applyBorder="1" applyAlignment="1" applyProtection="1">
      <alignment horizontal="center" vertical="center"/>
    </xf>
    <xf numFmtId="9" fontId="14" fillId="0" borderId="35" xfId="2" applyFont="1" applyBorder="1" applyAlignment="1" applyProtection="1">
      <alignment horizontal="center" vertical="center"/>
    </xf>
    <xf numFmtId="9" fontId="14" fillId="0" borderId="52" xfId="2" applyFont="1" applyBorder="1" applyAlignment="1" applyProtection="1">
      <alignment horizontal="center" vertical="center"/>
    </xf>
    <xf numFmtId="0" fontId="3" fillId="15" borderId="25" xfId="0" applyFont="1" applyFill="1" applyBorder="1" applyAlignment="1">
      <alignment horizontal="center"/>
    </xf>
    <xf numFmtId="0" fontId="3" fillId="15" borderId="26" xfId="0" applyFont="1" applyFill="1" applyBorder="1" applyAlignment="1">
      <alignment horizontal="center"/>
    </xf>
    <xf numFmtId="0" fontId="3" fillId="15" borderId="27" xfId="0" applyFont="1" applyFill="1" applyBorder="1" applyAlignment="1">
      <alignment horizontal="center"/>
    </xf>
    <xf numFmtId="0" fontId="5" fillId="19" borderId="7" xfId="0" applyFont="1" applyFill="1" applyBorder="1" applyAlignment="1">
      <alignment horizontal="center"/>
    </xf>
    <xf numFmtId="0" fontId="5" fillId="19" borderId="64" xfId="0" applyFont="1" applyFill="1" applyBorder="1" applyAlignment="1">
      <alignment horizontal="center"/>
    </xf>
    <xf numFmtId="0" fontId="5" fillId="7" borderId="50" xfId="0" applyFont="1" applyFill="1" applyBorder="1" applyAlignment="1">
      <alignment horizontal="center"/>
    </xf>
    <xf numFmtId="0" fontId="5" fillId="7" borderId="43" xfId="0" applyFont="1" applyFill="1" applyBorder="1" applyAlignment="1">
      <alignment horizontal="center"/>
    </xf>
    <xf numFmtId="0" fontId="5" fillId="7" borderId="51" xfId="0" applyFont="1" applyFill="1" applyBorder="1" applyAlignment="1">
      <alignment horizontal="center"/>
    </xf>
    <xf numFmtId="0" fontId="5" fillId="4" borderId="50" xfId="0" applyFont="1" applyFill="1" applyBorder="1" applyAlignment="1">
      <alignment horizontal="center"/>
    </xf>
    <xf numFmtId="0" fontId="5" fillId="4" borderId="43" xfId="0" applyFont="1" applyFill="1" applyBorder="1" applyAlignment="1">
      <alignment horizontal="center"/>
    </xf>
    <xf numFmtId="0" fontId="5" fillId="4" borderId="51" xfId="0" applyFont="1" applyFill="1" applyBorder="1" applyAlignment="1">
      <alignment horizontal="center"/>
    </xf>
    <xf numFmtId="0" fontId="5" fillId="4" borderId="55" xfId="0" applyFont="1" applyFill="1" applyBorder="1" applyAlignment="1">
      <alignment horizontal="center"/>
    </xf>
    <xf numFmtId="0" fontId="5" fillId="4" borderId="7" xfId="0" applyFont="1" applyFill="1" applyBorder="1" applyAlignment="1">
      <alignment horizontal="center"/>
    </xf>
    <xf numFmtId="164" fontId="2" fillId="0" borderId="34" xfId="0" applyNumberFormat="1" applyFont="1" applyBorder="1" applyAlignment="1">
      <alignment horizontal="center"/>
    </xf>
    <xf numFmtId="164" fontId="2" fillId="0" borderId="35" xfId="0" applyNumberFormat="1" applyFont="1" applyBorder="1" applyAlignment="1">
      <alignment horizontal="center"/>
    </xf>
    <xf numFmtId="44" fontId="3" fillId="4" borderId="63" xfId="0" applyNumberFormat="1" applyFont="1" applyFill="1" applyBorder="1" applyAlignment="1">
      <alignment horizontal="center"/>
    </xf>
    <xf numFmtId="44" fontId="3" fillId="4" borderId="59" xfId="0" applyNumberFormat="1" applyFont="1" applyFill="1" applyBorder="1" applyAlignment="1">
      <alignment horizontal="center"/>
    </xf>
    <xf numFmtId="44" fontId="3" fillId="0" borderId="15" xfId="0" applyNumberFormat="1" applyFont="1" applyBorder="1" applyAlignment="1" applyProtection="1">
      <alignment horizontal="center" vertical="center"/>
      <protection locked="0"/>
    </xf>
    <xf numFmtId="44" fontId="3" fillId="0" borderId="17" xfId="0" applyNumberFormat="1" applyFont="1" applyBorder="1" applyAlignment="1" applyProtection="1">
      <alignment horizontal="center" vertical="center"/>
      <protection locked="0"/>
    </xf>
    <xf numFmtId="0" fontId="3" fillId="2" borderId="3"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44" fontId="3" fillId="0" borderId="1" xfId="0" applyNumberFormat="1" applyFont="1" applyBorder="1" applyAlignment="1">
      <alignment horizontal="center" vertical="center"/>
    </xf>
    <xf numFmtId="44" fontId="3" fillId="0" borderId="9" xfId="0" applyNumberFormat="1" applyFont="1" applyBorder="1" applyAlignment="1">
      <alignment horizontal="center" vertical="center"/>
    </xf>
    <xf numFmtId="0" fontId="26" fillId="0" borderId="38" xfId="0" applyFont="1" applyBorder="1" applyAlignment="1">
      <alignment horizontal="center"/>
    </xf>
    <xf numFmtId="0" fontId="26" fillId="0" borderId="0" xfId="0" applyFont="1" applyAlignment="1">
      <alignment horizontal="center"/>
    </xf>
    <xf numFmtId="0" fontId="26" fillId="0" borderId="39" xfId="0" applyFont="1" applyBorder="1" applyAlignment="1">
      <alignment horizontal="center"/>
    </xf>
    <xf numFmtId="9" fontId="24" fillId="0" borderId="30" xfId="2" applyFont="1" applyBorder="1" applyAlignment="1">
      <alignment horizontal="center" vertical="center"/>
    </xf>
    <xf numFmtId="9" fontId="24" fillId="0" borderId="31" xfId="2" applyFont="1" applyBorder="1" applyAlignment="1">
      <alignment horizontal="center" vertical="center"/>
    </xf>
    <xf numFmtId="9" fontId="24" fillId="0" borderId="32" xfId="2" applyFont="1" applyBorder="1" applyAlignment="1">
      <alignment horizontal="center" vertical="center"/>
    </xf>
    <xf numFmtId="0" fontId="5" fillId="19" borderId="15" xfId="0" applyFont="1" applyFill="1" applyBorder="1" applyAlignment="1">
      <alignment horizontal="center"/>
    </xf>
    <xf numFmtId="0" fontId="5" fillId="19" borderId="16" xfId="0" applyFont="1" applyFill="1" applyBorder="1" applyAlignment="1">
      <alignment horizontal="center"/>
    </xf>
    <xf numFmtId="0" fontId="5" fillId="19" borderId="17" xfId="0" applyFont="1" applyFill="1" applyBorder="1" applyAlignment="1">
      <alignment horizontal="center"/>
    </xf>
    <xf numFmtId="0" fontId="3" fillId="19" borderId="25" xfId="0" applyFont="1" applyFill="1" applyBorder="1" applyAlignment="1">
      <alignment horizontal="center"/>
    </xf>
    <xf numFmtId="0" fontId="3" fillId="19" borderId="26" xfId="0" applyFont="1" applyFill="1" applyBorder="1" applyAlignment="1">
      <alignment horizontal="center"/>
    </xf>
    <xf numFmtId="0" fontId="3" fillId="19" borderId="27" xfId="0" applyFont="1" applyFill="1" applyBorder="1" applyAlignment="1">
      <alignment horizontal="center"/>
    </xf>
  </cellXfs>
  <cellStyles count="4">
    <cellStyle name="Currency" xfId="1" builtinId="4"/>
    <cellStyle name="Normal" xfId="0" builtinId="0"/>
    <cellStyle name="Normal 2" xfId="3" xr:uid="{00000000-0005-0000-0000-000002000000}"/>
    <cellStyle name="Percent" xfId="2" builtinId="5"/>
  </cellStyles>
  <dxfs count="23">
    <dxf>
      <fill>
        <patternFill>
          <bgColor rgb="FFFF0000"/>
        </patternFill>
      </fill>
    </dxf>
    <dxf>
      <fill>
        <patternFill>
          <bgColor rgb="FFFF0000"/>
        </patternFill>
      </fill>
    </dxf>
    <dxf>
      <fill>
        <patternFill>
          <bgColor rgb="FF92D050"/>
        </patternFill>
      </fill>
    </dxf>
    <dxf>
      <font>
        <color auto="1"/>
      </font>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auto="1"/>
      </font>
      <fill>
        <patternFill>
          <bgColor rgb="FFFFC000"/>
        </patternFill>
      </fill>
    </dxf>
    <dxf>
      <fill>
        <patternFill>
          <bgColor rgb="FFFF0000"/>
        </patternFill>
      </fill>
    </dxf>
    <dxf>
      <font>
        <strike/>
      </font>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14996795556505021"/>
        </patternFill>
      </fill>
    </dxf>
    <dxf>
      <fill>
        <patternFill>
          <bgColor theme="2" tint="-0.24994659260841701"/>
        </patternFill>
      </fill>
    </dxf>
    <dxf>
      <fill>
        <patternFill>
          <bgColor theme="1"/>
        </patternFill>
      </fill>
    </dxf>
    <dxf>
      <fill>
        <patternFill>
          <bgColor theme="1" tint="0.499984740745262"/>
        </patternFill>
      </fill>
    </dxf>
  </dxfs>
  <tableStyles count="0" defaultTableStyle="TableStyleMedium2" defaultPivotStyle="PivotStyleLight16"/>
  <colors>
    <mruColors>
      <color rgb="FFFF4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O$22" fmlaRange="$P$22:$P$26" noThreeD="1" sel="1"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15</xdr:col>
          <xdr:colOff>7620</xdr:colOff>
          <xdr:row>7</xdr:row>
          <xdr:rowOff>1295400</xdr:rowOff>
        </xdr:from>
        <xdr:to>
          <xdr:col>15</xdr:col>
          <xdr:colOff>1752600</xdr:colOff>
          <xdr:row>7</xdr:row>
          <xdr:rowOff>1508760</xdr:rowOff>
        </xdr:to>
        <xdr:sp macro="" textlink="">
          <xdr:nvSpPr>
            <xdr:cNvPr id="1026" name="Drop Down 2" hidden="1">
              <a:extLst>
                <a:ext uri="{63B3BB69-23CF-44E3-9099-C40C66FF867C}">
                  <a14:compatExt spid="_x0000_s1026"/>
                </a:ext>
                <a:ext uri="{FF2B5EF4-FFF2-40B4-BE49-F238E27FC236}">
                  <a16:creationId xmlns:a16="http://schemas.microsoft.com/office/drawing/2014/main" id="{00000000-0008-0000-0300-00000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M32"/>
  <sheetViews>
    <sheetView tabSelected="1" zoomScaleNormal="100" workbookViewId="0">
      <selection activeCell="B2" sqref="B2:D2"/>
    </sheetView>
  </sheetViews>
  <sheetFormatPr defaultColWidth="9.33203125" defaultRowHeight="15.6" x14ac:dyDescent="0.3"/>
  <cols>
    <col min="1" max="1" width="44.33203125" style="89" bestFit="1" customWidth="1"/>
    <col min="2" max="2" width="22.44140625" style="89" customWidth="1"/>
    <col min="3" max="3" width="9.77734375" style="90" customWidth="1"/>
    <col min="4" max="4" width="18" style="90" customWidth="1"/>
    <col min="5" max="5" width="22.109375" style="89" customWidth="1"/>
    <col min="6" max="7" width="22.44140625" style="89" hidden="1" customWidth="1"/>
    <col min="8" max="8" width="21.33203125" style="89" customWidth="1"/>
    <col min="9" max="9" width="22.44140625" style="89" customWidth="1"/>
    <col min="10" max="10" width="23.33203125" style="89" customWidth="1"/>
    <col min="11" max="11" width="10.109375" style="89" hidden="1" customWidth="1"/>
    <col min="12" max="12" width="37.109375" style="89" hidden="1" customWidth="1"/>
    <col min="13" max="13" width="9.33203125" style="89" customWidth="1"/>
    <col min="14" max="16384" width="9.33203125" style="89"/>
  </cols>
  <sheetData>
    <row r="1" spans="1:13" s="91" customFormat="1" ht="21" x14ac:dyDescent="0.25">
      <c r="A1" s="222" t="s">
        <v>89</v>
      </c>
      <c r="B1" s="258"/>
      <c r="C1" s="258"/>
      <c r="D1" s="258"/>
      <c r="E1" s="265" t="s">
        <v>187</v>
      </c>
      <c r="F1" s="201"/>
      <c r="G1" s="201"/>
      <c r="H1" s="267">
        <v>0.15</v>
      </c>
      <c r="I1" s="278" t="s">
        <v>188</v>
      </c>
      <c r="J1" s="280">
        <v>0</v>
      </c>
    </row>
    <row r="2" spans="1:13" s="91" customFormat="1" ht="21.6" thickBot="1" x14ac:dyDescent="0.3">
      <c r="A2" s="223" t="s">
        <v>90</v>
      </c>
      <c r="B2" s="257"/>
      <c r="C2" s="257"/>
      <c r="D2" s="257"/>
      <c r="E2" s="266"/>
      <c r="F2" s="202"/>
      <c r="G2" s="202"/>
      <c r="H2" s="268"/>
      <c r="I2" s="279"/>
      <c r="J2" s="281"/>
    </row>
    <row r="3" spans="1:13" s="91" customFormat="1" ht="24" thickBot="1" x14ac:dyDescent="0.3">
      <c r="A3" s="261" t="s">
        <v>177</v>
      </c>
      <c r="B3" s="262"/>
      <c r="C3" s="262"/>
      <c r="D3" s="262"/>
      <c r="E3" s="262"/>
      <c r="F3" s="262"/>
      <c r="G3" s="262"/>
      <c r="H3" s="262"/>
      <c r="I3" s="286" t="s">
        <v>179</v>
      </c>
      <c r="J3" s="287"/>
    </row>
    <row r="4" spans="1:13" s="124" customFormat="1" x14ac:dyDescent="0.3">
      <c r="A4" s="197"/>
      <c r="B4" s="190" t="s">
        <v>114</v>
      </c>
      <c r="C4" s="191" t="s">
        <v>176</v>
      </c>
      <c r="D4" s="192" t="s">
        <v>79</v>
      </c>
      <c r="E4" s="205" t="s">
        <v>180</v>
      </c>
      <c r="F4" s="193">
        <v>0</v>
      </c>
      <c r="G4" s="193">
        <f>H1</f>
        <v>0.15</v>
      </c>
      <c r="H4" s="194" t="s">
        <v>109</v>
      </c>
      <c r="I4" s="282"/>
      <c r="J4" s="282"/>
    </row>
    <row r="5" spans="1:13" ht="17.25" customHeight="1" x14ac:dyDescent="0.3">
      <c r="A5" s="114" t="s">
        <v>95</v>
      </c>
      <c r="B5" s="115" t="s">
        <v>47</v>
      </c>
      <c r="C5" s="115">
        <v>2</v>
      </c>
      <c r="D5" s="203">
        <f>IF('FIRE &amp; LIGHTS'!$M$11=0,0,'FIRE &amp; LIGHTS'!U21)</f>
        <v>0</v>
      </c>
      <c r="E5" s="214">
        <f t="shared" ref="E5:E15" si="0">D5-(D5*$J$1)</f>
        <v>0</v>
      </c>
      <c r="H5" s="125">
        <f>1-(OVERVIEW!$K$5/('FIRE &amp; LIGHTS'!$Q$3-(OVERVIEW!$J$1*'FIRE &amp; LIGHTS'!$Q$3)))</f>
        <v>0.59831168831168835</v>
      </c>
      <c r="I5" s="283"/>
      <c r="J5" s="283"/>
      <c r="K5" s="120">
        <v>30.93</v>
      </c>
      <c r="L5" s="89" t="s">
        <v>108</v>
      </c>
    </row>
    <row r="6" spans="1:13" ht="17.25" customHeight="1" x14ac:dyDescent="0.3">
      <c r="A6" s="114" t="s">
        <v>95</v>
      </c>
      <c r="B6" s="115" t="s">
        <v>47</v>
      </c>
      <c r="C6" s="115">
        <v>4</v>
      </c>
      <c r="D6" s="203">
        <f>IF('FIRE &amp; LIGHTS'!$M$11=0,0,'FIRE &amp; LIGHTS'!U22)</f>
        <v>0</v>
      </c>
      <c r="E6" s="214">
        <f>D6-(D6*$J$1)</f>
        <v>0</v>
      </c>
      <c r="H6" s="125">
        <f>1-(OVERVIEW!$K$5/('FIRE &amp; LIGHTS'!$Q$3-(OVERVIEW!$J$1*'FIRE &amp; LIGHTS'!$Q$3)))</f>
        <v>0.59831168831168835</v>
      </c>
      <c r="I6" s="283"/>
      <c r="J6" s="283"/>
      <c r="K6" s="120">
        <v>25.95</v>
      </c>
      <c r="L6" s="89" t="s">
        <v>107</v>
      </c>
    </row>
    <row r="7" spans="1:13" ht="17.25" customHeight="1" x14ac:dyDescent="0.3">
      <c r="A7" s="114" t="s">
        <v>95</v>
      </c>
      <c r="B7" s="115" t="s">
        <v>49</v>
      </c>
      <c r="C7" s="115">
        <v>2</v>
      </c>
      <c r="D7" s="203">
        <f>IF('FIRE &amp; LIGHTS'!$M$11=0,0,'FIRE &amp; LIGHTS'!U23)</f>
        <v>0</v>
      </c>
      <c r="E7" s="214">
        <f>D7-(D7*$J$1)</f>
        <v>0</v>
      </c>
      <c r="H7" s="125">
        <f>1-(OVERVIEW!$K$5/('FIRE &amp; LIGHTS'!$Q$3-(OVERVIEW!$J$1*'FIRE &amp; LIGHTS'!$Q$3)))</f>
        <v>0.59831168831168835</v>
      </c>
      <c r="I7" s="283"/>
      <c r="J7" s="283"/>
      <c r="K7" s="120">
        <f>K6*7.5/17.5</f>
        <v>11.121428571428572</v>
      </c>
      <c r="L7" s="89" t="s">
        <v>178</v>
      </c>
    </row>
    <row r="8" spans="1:13" ht="17.25" customHeight="1" x14ac:dyDescent="0.3">
      <c r="A8" s="114" t="s">
        <v>95</v>
      </c>
      <c r="B8" s="115" t="s">
        <v>49</v>
      </c>
      <c r="C8" s="115">
        <v>4</v>
      </c>
      <c r="D8" s="203">
        <f>IF('FIRE &amp; LIGHTS'!$M$11=0,0,'FIRE &amp; LIGHTS'!U24)</f>
        <v>0</v>
      </c>
      <c r="E8" s="214">
        <f t="shared" si="0"/>
        <v>0</v>
      </c>
      <c r="H8" s="125">
        <f>1-(OVERVIEW!$K$5/('FIRE &amp; LIGHTS'!$Q$3-(OVERVIEW!$J$1*'FIRE &amp; LIGHTS'!$Q$3)))</f>
        <v>0.59831168831168835</v>
      </c>
      <c r="I8" s="283"/>
      <c r="J8" s="283"/>
    </row>
    <row r="9" spans="1:13" ht="17.25" customHeight="1" x14ac:dyDescent="0.3">
      <c r="A9" s="272" t="s">
        <v>183</v>
      </c>
      <c r="B9" s="274"/>
      <c r="C9" s="115">
        <f>'FIRE &amp; LIGHTS'!U14</f>
        <v>0</v>
      </c>
      <c r="D9" s="203">
        <f>'FIRE &amp; LIGHTS'!U26</f>
        <v>0</v>
      </c>
      <c r="E9" s="214">
        <f t="shared" si="0"/>
        <v>0</v>
      </c>
      <c r="H9" s="125">
        <f>1-(K7/'FIRE &amp; LIGHTS'!U13)</f>
        <v>0.59558441558441555</v>
      </c>
      <c r="I9" s="284" t="s">
        <v>113</v>
      </c>
      <c r="J9" s="285"/>
      <c r="M9" s="126"/>
    </row>
    <row r="10" spans="1:13" ht="17.25" customHeight="1" x14ac:dyDescent="0.3">
      <c r="A10" s="116" t="s">
        <v>96</v>
      </c>
      <c r="B10" s="115" t="s">
        <v>47</v>
      </c>
      <c r="C10" s="115">
        <v>1</v>
      </c>
      <c r="D10" s="203">
        <f>'FIRE &amp; LIGHTS'!U28</f>
        <v>0</v>
      </c>
      <c r="E10" s="214">
        <f t="shared" si="0"/>
        <v>0</v>
      </c>
      <c r="H10" s="127" t="s">
        <v>115</v>
      </c>
      <c r="I10" s="288" t="s">
        <v>194</v>
      </c>
      <c r="J10" s="289"/>
    </row>
    <row r="11" spans="1:13" ht="17.25" customHeight="1" x14ac:dyDescent="0.3">
      <c r="A11" s="116" t="s">
        <v>97</v>
      </c>
      <c r="B11" s="115" t="s">
        <v>80</v>
      </c>
      <c r="C11" s="115">
        <f>'FIRE &amp; LIGHTS'!U16</f>
        <v>0</v>
      </c>
      <c r="D11" s="203">
        <f>'FIRE &amp; LIGHTS'!U30</f>
        <v>0</v>
      </c>
      <c r="E11" s="214">
        <f t="shared" si="0"/>
        <v>0</v>
      </c>
      <c r="H11" s="125">
        <f>1-(K6/('FIRE &amp; LIGHTS'!U15/3*4))</f>
        <v>0.60280612244897958</v>
      </c>
      <c r="I11" s="284" t="s">
        <v>111</v>
      </c>
      <c r="J11" s="285"/>
      <c r="M11" s="126"/>
    </row>
    <row r="12" spans="1:13" ht="17.25" customHeight="1" x14ac:dyDescent="0.3">
      <c r="A12" s="116" t="s">
        <v>98</v>
      </c>
      <c r="B12" s="115" t="str">
        <f>IF(INTRUDER!R8=1,("Platinum"),("Standard"))</f>
        <v>Standard</v>
      </c>
      <c r="C12" s="115">
        <f>INTRUDER!S3</f>
        <v>2</v>
      </c>
      <c r="D12" s="203">
        <f>INTRUDER!T8</f>
        <v>0</v>
      </c>
      <c r="E12" s="214">
        <f t="shared" si="0"/>
        <v>0</v>
      </c>
      <c r="H12" s="125">
        <f>1-(OVERVIEW!K5/(INTRUDER!Q3-INTRUDER!Q3*OVERVIEW!J1))</f>
        <v>0.59831168831168835</v>
      </c>
      <c r="I12" s="283"/>
      <c r="J12" s="283"/>
    </row>
    <row r="13" spans="1:13" ht="17.25" customHeight="1" x14ac:dyDescent="0.3">
      <c r="A13" s="272" t="s">
        <v>99</v>
      </c>
      <c r="B13" s="274"/>
      <c r="C13" s="115">
        <f>CCTV!P3</f>
        <v>1</v>
      </c>
      <c r="D13" s="203">
        <f>CCTV!Q9</f>
        <v>0</v>
      </c>
      <c r="E13" s="214">
        <f t="shared" si="0"/>
        <v>0</v>
      </c>
      <c r="H13" s="125">
        <f>1-(K5/(CCTV!N3-CCTV!N3*OVERVIEW!J1))</f>
        <v>0.59831168831168835</v>
      </c>
      <c r="I13" s="283"/>
      <c r="J13" s="283"/>
    </row>
    <row r="14" spans="1:13" ht="17.25" customHeight="1" x14ac:dyDescent="0.3">
      <c r="A14" s="272" t="s">
        <v>100</v>
      </c>
      <c r="B14" s="274"/>
      <c r="C14" s="115">
        <f>ACCESS!H3</f>
        <v>1</v>
      </c>
      <c r="D14" s="203">
        <f>ACCESS!I9</f>
        <v>0</v>
      </c>
      <c r="E14" s="214">
        <f t="shared" si="0"/>
        <v>0</v>
      </c>
      <c r="H14" s="125">
        <f>1-(K5/ACCESS!F3-ACCESS!F3*OVERVIEW!J1)</f>
        <v>0.59831168831168835</v>
      </c>
      <c r="I14" s="283"/>
      <c r="J14" s="283"/>
    </row>
    <row r="15" spans="1:13" ht="17.25" customHeight="1" thickBot="1" x14ac:dyDescent="0.35">
      <c r="A15" s="275" t="s">
        <v>182</v>
      </c>
      <c r="B15" s="277"/>
      <c r="C15" s="117">
        <f>DAMPERS!G3</f>
        <v>1</v>
      </c>
      <c r="D15" s="204">
        <f>DAMPERS!H9</f>
        <v>0</v>
      </c>
      <c r="E15" s="215">
        <f t="shared" si="0"/>
        <v>0</v>
      </c>
      <c r="H15" s="146">
        <f>1-(K6*2/DAMPERS!E3-DAMPERS!E3*OVERVIEW!J1)</f>
        <v>0.50096153846153846</v>
      </c>
      <c r="I15" s="290"/>
      <c r="J15" s="290"/>
    </row>
    <row r="16" spans="1:13" ht="36" customHeight="1" thickBot="1" x14ac:dyDescent="0.35">
      <c r="A16" s="263" t="s">
        <v>175</v>
      </c>
      <c r="B16" s="264"/>
      <c r="C16" s="264"/>
      <c r="D16" s="264"/>
      <c r="E16" s="264"/>
      <c r="F16" s="264"/>
      <c r="G16" s="264"/>
      <c r="H16" s="264"/>
      <c r="I16" s="198" t="s">
        <v>189</v>
      </c>
      <c r="J16" s="226">
        <v>0</v>
      </c>
    </row>
    <row r="17" spans="1:12" ht="18" x14ac:dyDescent="0.3">
      <c r="A17" s="269"/>
      <c r="B17" s="270"/>
      <c r="C17" s="271"/>
      <c r="D17" s="192" t="s">
        <v>79</v>
      </c>
      <c r="E17" s="205" t="s">
        <v>181</v>
      </c>
      <c r="F17" s="193">
        <v>0</v>
      </c>
      <c r="G17" s="193">
        <f>H15</f>
        <v>0.50096153846153846</v>
      </c>
      <c r="H17" s="194" t="s">
        <v>110</v>
      </c>
      <c r="I17" s="292" t="s">
        <v>179</v>
      </c>
      <c r="J17" s="292"/>
    </row>
    <row r="18" spans="1:12" ht="17.25" customHeight="1" x14ac:dyDescent="0.3">
      <c r="A18" s="272" t="s">
        <v>169</v>
      </c>
      <c r="B18" s="273"/>
      <c r="C18" s="274"/>
      <c r="D18" s="206">
        <f>MONITORING!T4</f>
        <v>0</v>
      </c>
      <c r="E18" s="214">
        <f>D18-(D18*$J$16)</f>
        <v>0</v>
      </c>
      <c r="F18" s="207"/>
      <c r="G18" s="175"/>
      <c r="H18" s="293" t="str">
        <f>MONITORING!Y3</f>
        <v>0%</v>
      </c>
      <c r="I18" s="296"/>
      <c r="J18" s="296"/>
      <c r="K18" s="176">
        <f>MONITORING!Q6</f>
        <v>0</v>
      </c>
      <c r="L18" s="89" t="s">
        <v>172</v>
      </c>
    </row>
    <row r="19" spans="1:12" ht="17.25" customHeight="1" x14ac:dyDescent="0.3">
      <c r="A19" s="272" t="s">
        <v>170</v>
      </c>
      <c r="B19" s="273"/>
      <c r="C19" s="274"/>
      <c r="D19" s="203">
        <f>MONITORING!T7</f>
        <v>0</v>
      </c>
      <c r="E19" s="216">
        <f>D19-(D19*$J$16)</f>
        <v>0</v>
      </c>
      <c r="F19" s="207"/>
      <c r="G19" s="175"/>
      <c r="H19" s="294"/>
      <c r="I19" s="291"/>
      <c r="J19" s="291"/>
      <c r="K19" s="176">
        <f>MONITORING!Q9</f>
        <v>0</v>
      </c>
      <c r="L19" s="89" t="s">
        <v>173</v>
      </c>
    </row>
    <row r="20" spans="1:12" ht="17.25" customHeight="1" thickBot="1" x14ac:dyDescent="0.35">
      <c r="A20" s="275" t="s">
        <v>171</v>
      </c>
      <c r="B20" s="276"/>
      <c r="C20" s="277"/>
      <c r="D20" s="204">
        <f>MONITORING!T11</f>
        <v>0</v>
      </c>
      <c r="E20" s="215">
        <f>D20-(D20*$J$16)</f>
        <v>0</v>
      </c>
      <c r="F20" s="208"/>
      <c r="G20" s="189"/>
      <c r="H20" s="295"/>
      <c r="I20" s="297"/>
      <c r="J20" s="297"/>
      <c r="K20" s="176">
        <f>MONITORING!Q11</f>
        <v>0</v>
      </c>
      <c r="L20" s="89" t="s">
        <v>174</v>
      </c>
    </row>
    <row r="21" spans="1:12" ht="36" customHeight="1" thickBot="1" x14ac:dyDescent="0.35">
      <c r="A21" s="259" t="s">
        <v>93</v>
      </c>
      <c r="B21" s="260"/>
      <c r="C21" s="260"/>
      <c r="D21" s="260"/>
      <c r="E21" s="256" t="s">
        <v>186</v>
      </c>
      <c r="F21" s="256"/>
      <c r="G21" s="256"/>
      <c r="H21" s="200">
        <v>0.5</v>
      </c>
      <c r="I21" s="298"/>
      <c r="J21" s="299"/>
    </row>
    <row r="22" spans="1:12" ht="18" customHeight="1" x14ac:dyDescent="0.3">
      <c r="A22" s="118" t="s">
        <v>94</v>
      </c>
      <c r="B22" s="191" t="s">
        <v>114</v>
      </c>
      <c r="C22" s="191" t="s">
        <v>176</v>
      </c>
      <c r="D22" s="192" t="s">
        <v>79</v>
      </c>
      <c r="E22" s="205" t="s">
        <v>181</v>
      </c>
      <c r="F22" s="212">
        <v>0</v>
      </c>
      <c r="G22" s="199">
        <f>H20</f>
        <v>0</v>
      </c>
      <c r="H22" s="194" t="s">
        <v>110</v>
      </c>
      <c r="I22" s="292" t="s">
        <v>179</v>
      </c>
      <c r="J22" s="292"/>
    </row>
    <row r="23" spans="1:12" ht="17.25" customHeight="1" x14ac:dyDescent="0.3">
      <c r="A23" s="196"/>
      <c r="B23" s="196"/>
      <c r="C23" s="195"/>
      <c r="D23" s="209">
        <v>0</v>
      </c>
      <c r="E23" s="217">
        <v>0</v>
      </c>
      <c r="H23" s="224">
        <f>IF(D23=0,(0),(1-(D23/E23)))</f>
        <v>0</v>
      </c>
      <c r="I23" s="296"/>
      <c r="J23" s="296"/>
    </row>
    <row r="24" spans="1:12" ht="17.25" customHeight="1" x14ac:dyDescent="0.3">
      <c r="A24" s="121"/>
      <c r="B24" s="121"/>
      <c r="C24" s="122"/>
      <c r="D24" s="210">
        <v>0</v>
      </c>
      <c r="E24" s="218">
        <f t="shared" ref="E24:E29" si="1">D24+(D24*$H$21)</f>
        <v>0</v>
      </c>
      <c r="H24" s="225">
        <f t="shared" ref="H24:H30" si="2">IF(D24=0,(0),(1-(D24/E24)))</f>
        <v>0</v>
      </c>
      <c r="I24" s="291"/>
      <c r="J24" s="291"/>
    </row>
    <row r="25" spans="1:12" ht="17.25" customHeight="1" x14ac:dyDescent="0.3">
      <c r="A25" s="121"/>
      <c r="B25" s="121"/>
      <c r="C25" s="122"/>
      <c r="D25" s="210">
        <v>0</v>
      </c>
      <c r="E25" s="218">
        <f t="shared" si="1"/>
        <v>0</v>
      </c>
      <c r="H25" s="225">
        <f t="shared" si="2"/>
        <v>0</v>
      </c>
      <c r="I25" s="291"/>
      <c r="J25" s="291"/>
    </row>
    <row r="26" spans="1:12" ht="17.25" customHeight="1" x14ac:dyDescent="0.3">
      <c r="A26" s="121"/>
      <c r="B26" s="121"/>
      <c r="C26" s="122"/>
      <c r="D26" s="210">
        <v>0</v>
      </c>
      <c r="E26" s="218">
        <f t="shared" si="1"/>
        <v>0</v>
      </c>
      <c r="H26" s="225">
        <f t="shared" si="2"/>
        <v>0</v>
      </c>
      <c r="I26" s="291"/>
      <c r="J26" s="291"/>
    </row>
    <row r="27" spans="1:12" ht="17.25" customHeight="1" x14ac:dyDescent="0.3">
      <c r="A27" s="121"/>
      <c r="B27" s="121"/>
      <c r="C27" s="122"/>
      <c r="D27" s="210">
        <v>0</v>
      </c>
      <c r="E27" s="218">
        <f t="shared" si="1"/>
        <v>0</v>
      </c>
      <c r="H27" s="225">
        <f t="shared" si="2"/>
        <v>0</v>
      </c>
      <c r="I27" s="291"/>
      <c r="J27" s="291"/>
    </row>
    <row r="28" spans="1:12" ht="17.25" customHeight="1" x14ac:dyDescent="0.3">
      <c r="A28" s="121"/>
      <c r="B28" s="121"/>
      <c r="C28" s="122"/>
      <c r="D28" s="210">
        <v>0</v>
      </c>
      <c r="E28" s="218">
        <f t="shared" si="1"/>
        <v>0</v>
      </c>
      <c r="H28" s="225">
        <f t="shared" si="2"/>
        <v>0</v>
      </c>
      <c r="I28" s="291"/>
      <c r="J28" s="291"/>
    </row>
    <row r="29" spans="1:12" ht="17.25" customHeight="1" thickBot="1" x14ac:dyDescent="0.35">
      <c r="A29" s="121"/>
      <c r="B29" s="121"/>
      <c r="C29" s="122"/>
      <c r="D29" s="211">
        <v>0</v>
      </c>
      <c r="E29" s="219">
        <f t="shared" si="1"/>
        <v>0</v>
      </c>
      <c r="H29" s="225">
        <f t="shared" si="2"/>
        <v>0</v>
      </c>
      <c r="I29" s="291"/>
      <c r="J29" s="291"/>
    </row>
    <row r="30" spans="1:12" ht="18.600000000000001" thickBot="1" x14ac:dyDescent="0.35">
      <c r="B30" s="255" t="s">
        <v>102</v>
      </c>
      <c r="C30" s="255"/>
      <c r="D30" s="147">
        <f>SUM(D23:D29)</f>
        <v>0</v>
      </c>
      <c r="E30" s="220">
        <f>SUM(E23:E29)</f>
        <v>0</v>
      </c>
      <c r="H30" s="225">
        <f t="shared" si="2"/>
        <v>0</v>
      </c>
      <c r="I30" s="291"/>
      <c r="J30" s="291"/>
    </row>
    <row r="31" spans="1:12" ht="8.25" customHeight="1" thickBot="1" x14ac:dyDescent="0.35">
      <c r="E31" s="90"/>
    </row>
    <row r="32" spans="1:12" ht="18.600000000000001" thickBot="1" x14ac:dyDescent="0.35">
      <c r="D32" s="119" t="s">
        <v>101</v>
      </c>
      <c r="E32" s="221">
        <f>SUM(E5:E29)</f>
        <v>0</v>
      </c>
      <c r="J32" s="229" t="s">
        <v>195</v>
      </c>
    </row>
  </sheetData>
  <sheetProtection selectLockedCells="1"/>
  <mergeCells count="47">
    <mergeCell ref="A15:B15"/>
    <mergeCell ref="I28:J28"/>
    <mergeCell ref="I29:J29"/>
    <mergeCell ref="I30:J30"/>
    <mergeCell ref="I17:J17"/>
    <mergeCell ref="H18:H20"/>
    <mergeCell ref="I23:J23"/>
    <mergeCell ref="I24:J24"/>
    <mergeCell ref="I25:J25"/>
    <mergeCell ref="I26:J26"/>
    <mergeCell ref="I27:J27"/>
    <mergeCell ref="I18:J18"/>
    <mergeCell ref="I19:J19"/>
    <mergeCell ref="I20:J20"/>
    <mergeCell ref="I21:J21"/>
    <mergeCell ref="I22:J22"/>
    <mergeCell ref="I11:J11"/>
    <mergeCell ref="I12:J12"/>
    <mergeCell ref="I13:J13"/>
    <mergeCell ref="I14:J14"/>
    <mergeCell ref="I15:J15"/>
    <mergeCell ref="I7:J7"/>
    <mergeCell ref="I8:J8"/>
    <mergeCell ref="I9:J9"/>
    <mergeCell ref="I3:J3"/>
    <mergeCell ref="I10:J10"/>
    <mergeCell ref="I1:I2"/>
    <mergeCell ref="J1:J2"/>
    <mergeCell ref="I4:J4"/>
    <mergeCell ref="I5:J5"/>
    <mergeCell ref="I6:J6"/>
    <mergeCell ref="B30:C30"/>
    <mergeCell ref="E21:G21"/>
    <mergeCell ref="B2:D2"/>
    <mergeCell ref="B1:D1"/>
    <mergeCell ref="A21:D21"/>
    <mergeCell ref="A3:H3"/>
    <mergeCell ref="A16:H16"/>
    <mergeCell ref="E1:E2"/>
    <mergeCell ref="H1:H2"/>
    <mergeCell ref="A17:C17"/>
    <mergeCell ref="A18:C18"/>
    <mergeCell ref="A19:C19"/>
    <mergeCell ref="A20:C20"/>
    <mergeCell ref="A9:B9"/>
    <mergeCell ref="A13:B13"/>
    <mergeCell ref="A14:B14"/>
  </mergeCells>
  <conditionalFormatting sqref="B5:B8 B10:B12">
    <cfRule type="containsText" dxfId="22" priority="9" operator="containsText" text="Platinum">
      <formula>NOT(ISERROR(SEARCH("Platinum",B5)))</formula>
    </cfRule>
    <cfRule type="containsText" dxfId="21" priority="10" operator="containsText" text="N/A">
      <formula>NOT(ISERROR(SEARCH("N/A",B5)))</formula>
    </cfRule>
    <cfRule type="containsText" dxfId="20" priority="11" operator="containsText" text="Comprehensive">
      <formula>NOT(ISERROR(SEARCH("Comprehensive",B5)))</formula>
    </cfRule>
    <cfRule type="containsText" dxfId="19" priority="12" operator="containsText" text="Standard">
      <formula>NOT(ISERROR(SEARCH("Standard",B5)))</formula>
    </cfRule>
  </conditionalFormatting>
  <conditionalFormatting sqref="E17:G17">
    <cfRule type="colorScale" priority="3">
      <colorScale>
        <cfvo type="num" val="$F$4"/>
        <cfvo type="percent" val="50"/>
        <cfvo type="num" val="$G$4"/>
        <color rgb="FF92D050"/>
        <color rgb="FFFFEB84"/>
        <color rgb="FFFF0000"/>
      </colorScale>
    </cfRule>
  </conditionalFormatting>
  <conditionalFormatting sqref="E22:G22">
    <cfRule type="colorScale" priority="4">
      <colorScale>
        <cfvo type="num" val="$F$4"/>
        <cfvo type="percent" val="50"/>
        <cfvo type="num" val="$G$4"/>
        <color rgb="FF92D050"/>
        <color rgb="FFFFEB84"/>
        <color rgb="FFFF0000"/>
      </colorScale>
    </cfRule>
  </conditionalFormatting>
  <conditionalFormatting sqref="H5:H15">
    <cfRule type="cellIs" dxfId="18" priority="6" operator="lessThan">
      <formula>0.5</formula>
    </cfRule>
  </conditionalFormatting>
  <conditionalFormatting sqref="H18">
    <cfRule type="cellIs" dxfId="17" priority="5" operator="lessThan">
      <formula>0.6</formula>
    </cfRule>
  </conditionalFormatting>
  <conditionalFormatting sqref="J1:J2">
    <cfRule type="cellIs" dxfId="16" priority="1" operator="greaterThan">
      <formula>$H$1</formula>
    </cfRule>
  </conditionalFormatting>
  <conditionalFormatting sqref="J16">
    <cfRule type="cellIs" dxfId="15" priority="2" operator="greaterThan">
      <formula>$H$1</formula>
    </cfRule>
  </conditionalFormatting>
  <pageMargins left="0.7" right="0.7" top="0.75" bottom="0.75" header="0.3" footer="0.3"/>
  <pageSetup paperSize="9" orientation="portrait" horizontalDpi="4294967293" verticalDpi="0" r:id="rId1"/>
  <ignoredErrors>
    <ignoredError sqref="H18"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Y31"/>
  <sheetViews>
    <sheetView topLeftCell="A2" workbookViewId="0">
      <selection activeCell="U15" sqref="U15"/>
    </sheetView>
  </sheetViews>
  <sheetFormatPr defaultColWidth="9.33203125" defaultRowHeight="13.8" x14ac:dyDescent="0.3"/>
  <cols>
    <col min="1" max="1" width="16.44140625" style="1" customWidth="1"/>
    <col min="2" max="2" width="54" style="1" customWidth="1"/>
    <col min="3" max="15" width="5.44140625" style="1" customWidth="1"/>
    <col min="16" max="16" width="1.33203125" style="1" customWidth="1"/>
    <col min="17" max="19" width="17" style="1" customWidth="1"/>
    <col min="20" max="20" width="17" style="3" customWidth="1"/>
    <col min="21" max="21" width="17" style="1" customWidth="1"/>
    <col min="22" max="22" width="9.33203125" style="1" customWidth="1"/>
    <col min="23" max="25" width="10.44140625" style="1" customWidth="1"/>
    <col min="26" max="16384" width="9.33203125" style="1"/>
  </cols>
  <sheetData>
    <row r="1" spans="1:25" hidden="1" x14ac:dyDescent="0.3">
      <c r="U1" s="60">
        <f>IF($N$8+$O$8=0,0,IF((20+$N$8*60+$O$8+$B$4)*$C$4*$A$4/60&lt;=(S3-1),S3,IF(AND((20+$N$8*60+$O$8)*$C$4*$A$4/60&lt;=139,SUM($C$8:$M$8)&gt;0),S3,IF(SUM($C$8:$M$8)=0,(20+$N$8*60+$O$8+$B$4)*$C$4*$A$4/60,(20+$N$8*60+$O$8)*$C$4*$A$4/60))))</f>
        <v>0</v>
      </c>
    </row>
    <row r="2" spans="1:25" x14ac:dyDescent="0.3">
      <c r="A2" s="50"/>
      <c r="B2" s="50"/>
      <c r="C2" s="50"/>
      <c r="D2" s="50"/>
      <c r="E2" s="50"/>
      <c r="F2" s="50"/>
      <c r="G2" s="50"/>
      <c r="H2" s="50"/>
      <c r="I2" s="50"/>
      <c r="J2" s="50"/>
      <c r="K2" s="50"/>
      <c r="L2" s="50"/>
      <c r="M2" s="50"/>
      <c r="N2" s="50"/>
      <c r="O2" s="50"/>
      <c r="P2" s="50"/>
      <c r="Q2" s="95" t="s">
        <v>43</v>
      </c>
      <c r="R2" s="96" t="s">
        <v>44</v>
      </c>
      <c r="S2" s="95" t="s">
        <v>78</v>
      </c>
      <c r="T2" s="97" t="s">
        <v>14</v>
      </c>
      <c r="U2" s="95"/>
    </row>
    <row r="3" spans="1:25" ht="14.4" thickBot="1" x14ac:dyDescent="0.35">
      <c r="A3" s="50"/>
      <c r="B3" s="50"/>
      <c r="C3" s="50"/>
      <c r="D3" s="50"/>
      <c r="E3" s="50"/>
      <c r="F3" s="50"/>
      <c r="G3" s="50"/>
      <c r="H3" s="50"/>
      <c r="I3" s="50"/>
      <c r="J3" s="50"/>
      <c r="K3" s="50"/>
      <c r="L3" s="50"/>
      <c r="M3" s="50"/>
      <c r="N3" s="50"/>
      <c r="O3" s="50"/>
      <c r="P3" s="50"/>
      <c r="Q3" s="98">
        <v>77</v>
      </c>
      <c r="R3" s="16">
        <v>199</v>
      </c>
      <c r="S3" s="46">
        <v>99</v>
      </c>
      <c r="T3" s="99">
        <v>20</v>
      </c>
      <c r="U3" s="123">
        <v>2</v>
      </c>
    </row>
    <row r="4" spans="1:25" hidden="1" x14ac:dyDescent="0.3">
      <c r="A4" s="51">
        <f>Q3</f>
        <v>77</v>
      </c>
      <c r="B4" s="51">
        <f>T3</f>
        <v>20</v>
      </c>
      <c r="C4" s="51">
        <f>U3</f>
        <v>2</v>
      </c>
      <c r="D4" s="50">
        <v>4</v>
      </c>
      <c r="E4" s="52" t="s">
        <v>38</v>
      </c>
      <c r="F4" s="105">
        <v>0.5</v>
      </c>
      <c r="G4" s="50"/>
      <c r="H4" s="50"/>
      <c r="I4" s="50"/>
      <c r="J4" s="50"/>
      <c r="K4" s="50"/>
      <c r="L4" s="50"/>
      <c r="M4" s="50"/>
      <c r="N4" s="50"/>
      <c r="O4" s="50"/>
      <c r="P4" s="50"/>
    </row>
    <row r="5" spans="1:25" hidden="1" x14ac:dyDescent="0.3">
      <c r="A5" s="51"/>
      <c r="B5" s="51"/>
      <c r="C5" s="51"/>
      <c r="D5" s="50"/>
      <c r="E5" s="50"/>
      <c r="F5" s="50"/>
      <c r="G5" s="50"/>
      <c r="H5" s="50"/>
      <c r="I5" s="50"/>
      <c r="J5" s="50"/>
      <c r="K5" s="50"/>
      <c r="L5" s="50"/>
      <c r="M5" s="50"/>
      <c r="N5" s="50"/>
      <c r="O5" s="50"/>
      <c r="P5" s="50"/>
      <c r="Q5" s="50"/>
      <c r="R5" s="50"/>
      <c r="S5" s="50"/>
      <c r="T5" s="53"/>
      <c r="U5" s="50"/>
    </row>
    <row r="6" spans="1:25" ht="16.2" thickBot="1" x14ac:dyDescent="0.35">
      <c r="A6" s="308" t="s">
        <v>34</v>
      </c>
      <c r="B6" s="309"/>
      <c r="C6" s="309"/>
      <c r="D6" s="309"/>
      <c r="E6" s="309"/>
      <c r="F6" s="309"/>
      <c r="G6" s="309"/>
      <c r="H6" s="309"/>
      <c r="I6" s="309"/>
      <c r="J6" s="309"/>
      <c r="K6" s="309"/>
      <c r="L6" s="309"/>
      <c r="M6" s="309"/>
      <c r="N6" s="309"/>
      <c r="O6" s="309"/>
      <c r="P6" s="309"/>
      <c r="Q6" s="309"/>
      <c r="R6" s="309"/>
      <c r="S6" s="309"/>
      <c r="T6" s="309"/>
      <c r="U6" s="310"/>
      <c r="W6" s="305" t="s">
        <v>109</v>
      </c>
      <c r="X6" s="306"/>
      <c r="Y6" s="307"/>
    </row>
    <row r="7" spans="1:25" ht="101.25" customHeight="1" thickBot="1" x14ac:dyDescent="0.35">
      <c r="A7" s="54" t="s">
        <v>0</v>
      </c>
      <c r="B7" s="55" t="s">
        <v>1</v>
      </c>
      <c r="C7" s="56" t="s">
        <v>2</v>
      </c>
      <c r="D7" s="56" t="s">
        <v>5</v>
      </c>
      <c r="E7" s="56" t="s">
        <v>6</v>
      </c>
      <c r="F7" s="56" t="s">
        <v>7</v>
      </c>
      <c r="G7" s="56" t="s">
        <v>8</v>
      </c>
      <c r="H7" s="56" t="s">
        <v>9</v>
      </c>
      <c r="I7" s="56" t="s">
        <v>10</v>
      </c>
      <c r="J7" s="56" t="s">
        <v>103</v>
      </c>
      <c r="K7" s="56" t="s">
        <v>3</v>
      </c>
      <c r="L7" s="57" t="s">
        <v>4</v>
      </c>
      <c r="M7" s="56" t="s">
        <v>11</v>
      </c>
      <c r="N7" s="56" t="s">
        <v>16</v>
      </c>
      <c r="O7" s="56" t="s">
        <v>13</v>
      </c>
      <c r="P7" s="321"/>
      <c r="Q7" s="58" t="s">
        <v>39</v>
      </c>
      <c r="R7" s="58" t="s">
        <v>41</v>
      </c>
      <c r="S7" s="58" t="s">
        <v>40</v>
      </c>
      <c r="T7" s="58" t="s">
        <v>42</v>
      </c>
      <c r="U7" s="59" t="s">
        <v>193</v>
      </c>
      <c r="W7" s="302">
        <f>1-(OVERVIEW!K5/'FIRE &amp; LIGHTS'!Q3)</f>
        <v>0.59831168831168835</v>
      </c>
      <c r="X7" s="303"/>
      <c r="Y7" s="304"/>
    </row>
    <row r="8" spans="1:25" s="6" customFormat="1" x14ac:dyDescent="0.25">
      <c r="A8" s="102">
        <f>OVERVIEW!B2</f>
        <v>0</v>
      </c>
      <c r="B8" s="4">
        <f>OVERVIEW!B1</f>
        <v>0</v>
      </c>
      <c r="C8" s="2">
        <v>0</v>
      </c>
      <c r="D8" s="2">
        <v>0</v>
      </c>
      <c r="E8" s="2">
        <v>0</v>
      </c>
      <c r="F8" s="2">
        <v>0</v>
      </c>
      <c r="G8" s="2">
        <v>0</v>
      </c>
      <c r="H8" s="2">
        <v>0</v>
      </c>
      <c r="I8" s="2">
        <v>0</v>
      </c>
      <c r="J8" s="2">
        <v>0</v>
      </c>
      <c r="K8" s="2">
        <v>0</v>
      </c>
      <c r="L8" s="2">
        <v>0</v>
      </c>
      <c r="M8" s="2">
        <v>0</v>
      </c>
      <c r="N8" s="2">
        <v>0</v>
      </c>
      <c r="O8" s="2">
        <v>0</v>
      </c>
      <c r="P8" s="322"/>
      <c r="Q8" s="5">
        <f>IF($Q$11&lt;R3,($R$3),($Q$11))</f>
        <v>199</v>
      </c>
      <c r="R8" s="5">
        <f>IF(R11&lt;(R3+2*B4/60*A4),(R3+2*B4/60*A4),(R11))</f>
        <v>250.33333333333331</v>
      </c>
      <c r="S8" s="5">
        <f>S10</f>
        <v>298.5</v>
      </c>
      <c r="T8" s="5">
        <f>T10</f>
        <v>349.83333333333337</v>
      </c>
      <c r="U8" s="60">
        <f>IF(U1&lt;99,99,U1)</f>
        <v>99</v>
      </c>
    </row>
    <row r="9" spans="1:25" s="6" customFormat="1" hidden="1" x14ac:dyDescent="0.25">
      <c r="A9" s="106"/>
      <c r="B9" s="110" t="s">
        <v>104</v>
      </c>
      <c r="C9" s="107">
        <v>30</v>
      </c>
      <c r="D9" s="107">
        <v>15</v>
      </c>
      <c r="E9" s="107">
        <v>15</v>
      </c>
      <c r="F9" s="107">
        <v>2</v>
      </c>
      <c r="G9" s="107">
        <v>2.5</v>
      </c>
      <c r="H9" s="107">
        <v>3.5</v>
      </c>
      <c r="I9" s="107">
        <v>15</v>
      </c>
      <c r="J9" s="107">
        <v>15</v>
      </c>
      <c r="K9" s="107">
        <v>0.5</v>
      </c>
      <c r="L9" s="107">
        <v>15</v>
      </c>
      <c r="M9" s="107">
        <v>15</v>
      </c>
      <c r="N9" s="107"/>
      <c r="O9" s="107"/>
      <c r="P9" s="322"/>
      <c r="Q9" s="108">
        <f>((C8*C9+D8*D9+E8*E9+F8*F9+G8*G9+H8*H9+I8*I9+J8*J9+K8*K9+L8*L9+M8*M9)/60*$A$4)+(($B$4/60)*$A$4)</f>
        <v>25.666666666666664</v>
      </c>
      <c r="R9" s="108"/>
      <c r="S9" s="108"/>
      <c r="T9" s="108"/>
      <c r="U9" s="109"/>
    </row>
    <row r="10" spans="1:25" s="6" customFormat="1" hidden="1" x14ac:dyDescent="0.25">
      <c r="A10" s="106"/>
      <c r="B10" s="110" t="s">
        <v>105</v>
      </c>
      <c r="C10" s="107">
        <v>1</v>
      </c>
      <c r="D10" s="107">
        <v>1</v>
      </c>
      <c r="E10" s="107">
        <v>1</v>
      </c>
      <c r="F10" s="111">
        <v>0.25</v>
      </c>
      <c r="G10" s="111">
        <v>0.15</v>
      </c>
      <c r="H10" s="111">
        <v>0.1</v>
      </c>
      <c r="I10" s="107">
        <v>1</v>
      </c>
      <c r="J10" s="107">
        <v>1</v>
      </c>
      <c r="K10" s="107">
        <v>1</v>
      </c>
      <c r="L10" s="107">
        <v>1</v>
      </c>
      <c r="M10" s="107">
        <v>1</v>
      </c>
      <c r="N10" s="107"/>
      <c r="O10" s="107"/>
      <c r="P10" s="322"/>
      <c r="Q10" s="108">
        <f>((C9*C10*C8+D9*D10*D8+E9*E10*E8+F9*F10*F8+G9*G10*G8+H9*H10*H8+I9*I10*I8+J9*J10*J8+K9*K10*K8+L9*L10*L8+M9*M10*M8)/60*$A$4)+(($B$4/60)*$A$4)</f>
        <v>25.666666666666664</v>
      </c>
      <c r="R10" s="108"/>
      <c r="S10" s="112">
        <f>Q8*(1+$F$4)</f>
        <v>298.5</v>
      </c>
      <c r="T10" s="112">
        <f>S10-Q11+R11</f>
        <v>349.83333333333337</v>
      </c>
      <c r="U10" s="109"/>
    </row>
    <row r="11" spans="1:25" s="6" customFormat="1" hidden="1" x14ac:dyDescent="0.25">
      <c r="A11" s="106"/>
      <c r="B11" s="110"/>
      <c r="C11" s="107"/>
      <c r="D11" s="107"/>
      <c r="E11" s="107"/>
      <c r="F11" s="111"/>
      <c r="G11" s="111"/>
      <c r="H11" s="111"/>
      <c r="I11" s="107"/>
      <c r="J11" s="107"/>
      <c r="K11" s="107"/>
      <c r="L11" s="107"/>
      <c r="M11" s="107">
        <f>SUM(C8:M8)</f>
        <v>0</v>
      </c>
      <c r="N11" s="107"/>
      <c r="O11" s="107">
        <f>SUM(N8:O8)</f>
        <v>0</v>
      </c>
      <c r="P11" s="322"/>
      <c r="Q11" s="112">
        <f>Q9+Q10</f>
        <v>51.333333333333329</v>
      </c>
      <c r="R11" s="112">
        <f>Q9+Q10*3</f>
        <v>102.66666666666666</v>
      </c>
      <c r="S11" s="108"/>
      <c r="T11" s="108"/>
      <c r="U11" s="109"/>
    </row>
    <row r="12" spans="1:25" x14ac:dyDescent="0.3">
      <c r="A12" s="61"/>
      <c r="B12" s="62"/>
      <c r="C12" s="62"/>
      <c r="D12" s="62"/>
      <c r="E12" s="62"/>
      <c r="F12" s="62"/>
      <c r="G12" s="62"/>
      <c r="H12" s="62"/>
      <c r="I12" s="62"/>
      <c r="J12" s="62"/>
      <c r="K12" s="62"/>
      <c r="L12" s="62"/>
      <c r="M12" s="62"/>
      <c r="N12" s="62"/>
      <c r="O12" s="62"/>
      <c r="P12" s="322"/>
      <c r="Q12" s="62"/>
      <c r="R12" s="62"/>
      <c r="S12" s="62"/>
      <c r="T12" s="63"/>
      <c r="U12" s="64"/>
    </row>
    <row r="13" spans="1:25" x14ac:dyDescent="0.3">
      <c r="A13" s="312" t="s">
        <v>19</v>
      </c>
      <c r="B13" s="313"/>
      <c r="C13" s="313"/>
      <c r="D13" s="313"/>
      <c r="E13" s="313"/>
      <c r="F13" s="313"/>
      <c r="G13" s="313"/>
      <c r="H13" s="313"/>
      <c r="I13" s="313"/>
      <c r="J13" s="313"/>
      <c r="K13" s="313"/>
      <c r="L13" s="313"/>
      <c r="M13" s="313"/>
      <c r="N13" s="313"/>
      <c r="O13" s="314"/>
      <c r="P13" s="322"/>
      <c r="Q13" s="311" t="s">
        <v>17</v>
      </c>
      <c r="R13" s="311"/>
      <c r="S13" s="311"/>
      <c r="T13" s="311"/>
      <c r="U13" s="101">
        <v>27.5</v>
      </c>
    </row>
    <row r="14" spans="1:25" x14ac:dyDescent="0.3">
      <c r="A14" s="315"/>
      <c r="B14" s="316"/>
      <c r="C14" s="316"/>
      <c r="D14" s="316"/>
      <c r="E14" s="316"/>
      <c r="F14" s="316"/>
      <c r="G14" s="316"/>
      <c r="H14" s="316"/>
      <c r="I14" s="316"/>
      <c r="J14" s="316"/>
      <c r="K14" s="316"/>
      <c r="L14" s="316"/>
      <c r="M14" s="316"/>
      <c r="N14" s="316"/>
      <c r="O14" s="317"/>
      <c r="P14" s="322"/>
      <c r="Q14" s="311" t="s">
        <v>35</v>
      </c>
      <c r="R14" s="311"/>
      <c r="S14" s="311"/>
      <c r="T14" s="311"/>
      <c r="U14" s="100">
        <v>0</v>
      </c>
      <c r="V14" s="12" t="s">
        <v>37</v>
      </c>
    </row>
    <row r="15" spans="1:25" x14ac:dyDescent="0.3">
      <c r="A15" s="315"/>
      <c r="B15" s="316"/>
      <c r="C15" s="316"/>
      <c r="D15" s="316"/>
      <c r="E15" s="316"/>
      <c r="F15" s="316"/>
      <c r="G15" s="316"/>
      <c r="H15" s="316"/>
      <c r="I15" s="316"/>
      <c r="J15" s="316"/>
      <c r="K15" s="316"/>
      <c r="L15" s="316"/>
      <c r="M15" s="316"/>
      <c r="N15" s="316"/>
      <c r="O15" s="317"/>
      <c r="P15" s="322"/>
      <c r="Q15" s="311" t="s">
        <v>18</v>
      </c>
      <c r="R15" s="311"/>
      <c r="S15" s="311"/>
      <c r="T15" s="311"/>
      <c r="U15" s="101">
        <v>49</v>
      </c>
      <c r="V15" s="12" t="s">
        <v>112</v>
      </c>
    </row>
    <row r="16" spans="1:25" x14ac:dyDescent="0.3">
      <c r="A16" s="315"/>
      <c r="B16" s="316"/>
      <c r="C16" s="316"/>
      <c r="D16" s="316"/>
      <c r="E16" s="316"/>
      <c r="F16" s="316"/>
      <c r="G16" s="316"/>
      <c r="H16" s="316"/>
      <c r="I16" s="316"/>
      <c r="J16" s="316"/>
      <c r="K16" s="316"/>
      <c r="L16" s="316"/>
      <c r="M16" s="316"/>
      <c r="N16" s="316"/>
      <c r="O16" s="317"/>
      <c r="P16" s="322"/>
      <c r="Q16" s="311" t="s">
        <v>36</v>
      </c>
      <c r="R16" s="311"/>
      <c r="S16" s="311"/>
      <c r="T16" s="311"/>
      <c r="U16" s="100">
        <v>0</v>
      </c>
      <c r="V16" s="12" t="s">
        <v>191</v>
      </c>
    </row>
    <row r="17" spans="1:21" x14ac:dyDescent="0.3">
      <c r="A17" s="315"/>
      <c r="B17" s="316"/>
      <c r="C17" s="316"/>
      <c r="D17" s="316"/>
      <c r="E17" s="316"/>
      <c r="F17" s="316"/>
      <c r="G17" s="316"/>
      <c r="H17" s="316"/>
      <c r="I17" s="316"/>
      <c r="J17" s="316"/>
      <c r="K17" s="316"/>
      <c r="L17" s="316"/>
      <c r="M17" s="316"/>
      <c r="N17" s="316"/>
      <c r="O17" s="317"/>
      <c r="P17" s="322"/>
      <c r="U17" s="65"/>
    </row>
    <row r="18" spans="1:21" x14ac:dyDescent="0.3">
      <c r="A18" s="315"/>
      <c r="B18" s="316"/>
      <c r="C18" s="316"/>
      <c r="D18" s="316"/>
      <c r="E18" s="316"/>
      <c r="F18" s="316"/>
      <c r="G18" s="316"/>
      <c r="H18" s="316"/>
      <c r="I18" s="316"/>
      <c r="J18" s="316"/>
      <c r="K18" s="316"/>
      <c r="L18" s="316"/>
      <c r="M18" s="316"/>
      <c r="N18" s="316"/>
      <c r="O18" s="317"/>
      <c r="P18" s="322"/>
      <c r="Q18" s="327" t="s">
        <v>45</v>
      </c>
      <c r="R18" s="327"/>
      <c r="S18" s="327"/>
      <c r="T18" s="327"/>
      <c r="U18" s="328"/>
    </row>
    <row r="19" spans="1:21" ht="15.6" x14ac:dyDescent="0.3">
      <c r="A19" s="315"/>
      <c r="B19" s="316"/>
      <c r="C19" s="316"/>
      <c r="D19" s="316"/>
      <c r="E19" s="316"/>
      <c r="F19" s="316"/>
      <c r="G19" s="316"/>
      <c r="H19" s="316"/>
      <c r="I19" s="316"/>
      <c r="J19" s="316"/>
      <c r="K19" s="316"/>
      <c r="L19" s="316"/>
      <c r="M19" s="316"/>
      <c r="N19" s="316"/>
      <c r="O19" s="317"/>
      <c r="P19" s="322"/>
      <c r="Q19" s="13"/>
      <c r="R19" s="13"/>
      <c r="S19" s="13"/>
      <c r="T19" s="13"/>
      <c r="U19" s="66"/>
    </row>
    <row r="20" spans="1:21" x14ac:dyDescent="0.3">
      <c r="A20" s="315"/>
      <c r="B20" s="316"/>
      <c r="C20" s="316"/>
      <c r="D20" s="316"/>
      <c r="E20" s="316"/>
      <c r="F20" s="316"/>
      <c r="G20" s="316"/>
      <c r="H20" s="316"/>
      <c r="I20" s="316"/>
      <c r="J20" s="316"/>
      <c r="K20" s="316"/>
      <c r="L20" s="316"/>
      <c r="M20" s="316"/>
      <c r="N20" s="316"/>
      <c r="O20" s="317"/>
      <c r="P20" s="322"/>
      <c r="Q20" s="326" t="s">
        <v>54</v>
      </c>
      <c r="R20" s="326"/>
      <c r="S20" s="228" t="s">
        <v>55</v>
      </c>
      <c r="T20" s="228" t="s">
        <v>56</v>
      </c>
      <c r="U20" s="67" t="s">
        <v>57</v>
      </c>
    </row>
    <row r="21" spans="1:21" x14ac:dyDescent="0.3">
      <c r="A21" s="315"/>
      <c r="B21" s="316"/>
      <c r="C21" s="316"/>
      <c r="D21" s="316"/>
      <c r="E21" s="316"/>
      <c r="F21" s="316"/>
      <c r="G21" s="316"/>
      <c r="H21" s="316"/>
      <c r="I21" s="316"/>
      <c r="J21" s="316"/>
      <c r="K21" s="316"/>
      <c r="L21" s="316"/>
      <c r="M21" s="316"/>
      <c r="N21" s="316"/>
      <c r="O21" s="317"/>
      <c r="P21" s="322"/>
      <c r="Q21" s="300" t="s">
        <v>46</v>
      </c>
      <c r="R21" s="301"/>
      <c r="S21" s="4" t="s">
        <v>47</v>
      </c>
      <c r="T21" s="10" t="s">
        <v>48</v>
      </c>
      <c r="U21" s="68">
        <f>Q8</f>
        <v>199</v>
      </c>
    </row>
    <row r="22" spans="1:21" x14ac:dyDescent="0.3">
      <c r="A22" s="315"/>
      <c r="B22" s="316"/>
      <c r="C22" s="316"/>
      <c r="D22" s="316"/>
      <c r="E22" s="316"/>
      <c r="F22" s="316"/>
      <c r="G22" s="316"/>
      <c r="H22" s="316"/>
      <c r="I22" s="316"/>
      <c r="J22" s="316"/>
      <c r="K22" s="316"/>
      <c r="L22" s="316"/>
      <c r="M22" s="316"/>
      <c r="N22" s="316"/>
      <c r="O22" s="317"/>
      <c r="P22" s="322"/>
      <c r="Q22" s="300" t="s">
        <v>46</v>
      </c>
      <c r="R22" s="301"/>
      <c r="S22" s="4" t="s">
        <v>47</v>
      </c>
      <c r="T22" s="17" t="s">
        <v>50</v>
      </c>
      <c r="U22" s="68">
        <f>R8</f>
        <v>250.33333333333331</v>
      </c>
    </row>
    <row r="23" spans="1:21" x14ac:dyDescent="0.3">
      <c r="A23" s="315"/>
      <c r="B23" s="316"/>
      <c r="C23" s="316"/>
      <c r="D23" s="316"/>
      <c r="E23" s="316"/>
      <c r="F23" s="316"/>
      <c r="G23" s="316"/>
      <c r="H23" s="316"/>
      <c r="I23" s="316"/>
      <c r="J23" s="316"/>
      <c r="K23" s="316"/>
      <c r="L23" s="316"/>
      <c r="M23" s="316"/>
      <c r="N23" s="316"/>
      <c r="O23" s="317"/>
      <c r="P23" s="322"/>
      <c r="Q23" s="300" t="s">
        <v>46</v>
      </c>
      <c r="R23" s="301"/>
      <c r="S23" s="4" t="s">
        <v>49</v>
      </c>
      <c r="T23" s="10" t="s">
        <v>48</v>
      </c>
      <c r="U23" s="68">
        <f>S8</f>
        <v>298.5</v>
      </c>
    </row>
    <row r="24" spans="1:21" x14ac:dyDescent="0.3">
      <c r="A24" s="315"/>
      <c r="B24" s="316"/>
      <c r="C24" s="316"/>
      <c r="D24" s="316"/>
      <c r="E24" s="316"/>
      <c r="F24" s="316"/>
      <c r="G24" s="316"/>
      <c r="H24" s="316"/>
      <c r="I24" s="316"/>
      <c r="J24" s="316"/>
      <c r="K24" s="316"/>
      <c r="L24" s="316"/>
      <c r="M24" s="316"/>
      <c r="N24" s="316"/>
      <c r="O24" s="317"/>
      <c r="P24" s="322"/>
      <c r="Q24" s="300" t="s">
        <v>46</v>
      </c>
      <c r="R24" s="301"/>
      <c r="S24" s="4" t="s">
        <v>49</v>
      </c>
      <c r="T24" s="10" t="s">
        <v>50</v>
      </c>
      <c r="U24" s="68">
        <f>T8</f>
        <v>349.83333333333337</v>
      </c>
    </row>
    <row r="25" spans="1:21" x14ac:dyDescent="0.3">
      <c r="A25" s="315"/>
      <c r="B25" s="316"/>
      <c r="C25" s="316"/>
      <c r="D25" s="316"/>
      <c r="E25" s="316"/>
      <c r="F25" s="316"/>
      <c r="G25" s="316"/>
      <c r="H25" s="316"/>
      <c r="I25" s="316"/>
      <c r="J25" s="316"/>
      <c r="K25" s="316"/>
      <c r="L25" s="316"/>
      <c r="M25" s="316"/>
      <c r="N25" s="316"/>
      <c r="O25" s="317"/>
      <c r="P25" s="322"/>
      <c r="Q25" s="14"/>
      <c r="R25" s="6"/>
      <c r="S25" s="6"/>
      <c r="T25" s="6"/>
      <c r="U25" s="69"/>
    </row>
    <row r="26" spans="1:21" x14ac:dyDescent="0.3">
      <c r="A26" s="315"/>
      <c r="B26" s="316"/>
      <c r="C26" s="316"/>
      <c r="D26" s="316"/>
      <c r="E26" s="316"/>
      <c r="F26" s="316"/>
      <c r="G26" s="316"/>
      <c r="H26" s="316"/>
      <c r="I26" s="316"/>
      <c r="J26" s="316"/>
      <c r="K26" s="316"/>
      <c r="L26" s="316"/>
      <c r="M26" s="316"/>
      <c r="N26" s="316"/>
      <c r="O26" s="317"/>
      <c r="P26" s="322"/>
      <c r="Q26" s="300" t="s">
        <v>46</v>
      </c>
      <c r="R26" s="301"/>
      <c r="S26" s="4" t="s">
        <v>51</v>
      </c>
      <c r="T26" s="10" t="s">
        <v>52</v>
      </c>
      <c r="U26" s="68">
        <f>U14*U13</f>
        <v>0</v>
      </c>
    </row>
    <row r="27" spans="1:21" x14ac:dyDescent="0.3">
      <c r="A27" s="315"/>
      <c r="B27" s="316"/>
      <c r="C27" s="316"/>
      <c r="D27" s="316"/>
      <c r="E27" s="316"/>
      <c r="F27" s="316"/>
      <c r="G27" s="316"/>
      <c r="H27" s="316"/>
      <c r="I27" s="316"/>
      <c r="J27" s="316"/>
      <c r="K27" s="316"/>
      <c r="L27" s="316"/>
      <c r="M27" s="316"/>
      <c r="N27" s="316"/>
      <c r="O27" s="317"/>
      <c r="P27" s="322"/>
      <c r="Q27" s="6"/>
      <c r="R27" s="6"/>
      <c r="S27" s="6"/>
      <c r="T27" s="6"/>
      <c r="U27" s="69"/>
    </row>
    <row r="28" spans="1:21" x14ac:dyDescent="0.3">
      <c r="A28" s="315"/>
      <c r="B28" s="316"/>
      <c r="C28" s="316"/>
      <c r="D28" s="316"/>
      <c r="E28" s="316"/>
      <c r="F28" s="316"/>
      <c r="G28" s="316"/>
      <c r="H28" s="316"/>
      <c r="I28" s="316"/>
      <c r="J28" s="316"/>
      <c r="K28" s="316"/>
      <c r="L28" s="316"/>
      <c r="M28" s="316"/>
      <c r="N28" s="316"/>
      <c r="O28" s="317"/>
      <c r="P28" s="322"/>
      <c r="Q28" s="300" t="s">
        <v>12</v>
      </c>
      <c r="R28" s="301"/>
      <c r="S28" s="4" t="s">
        <v>47</v>
      </c>
      <c r="T28" s="10" t="s">
        <v>192</v>
      </c>
      <c r="U28" s="68">
        <f>U1</f>
        <v>0</v>
      </c>
    </row>
    <row r="29" spans="1:21" x14ac:dyDescent="0.3">
      <c r="A29" s="315"/>
      <c r="B29" s="316"/>
      <c r="C29" s="316"/>
      <c r="D29" s="316"/>
      <c r="E29" s="316"/>
      <c r="F29" s="316"/>
      <c r="G29" s="316"/>
      <c r="H29" s="316"/>
      <c r="I29" s="316"/>
      <c r="J29" s="316"/>
      <c r="K29" s="316"/>
      <c r="L29" s="316"/>
      <c r="M29" s="316"/>
      <c r="N29" s="316"/>
      <c r="O29" s="317"/>
      <c r="P29" s="322"/>
      <c r="Q29" s="6"/>
      <c r="R29" s="6"/>
      <c r="S29" s="6"/>
      <c r="T29" s="6"/>
      <c r="U29" s="69"/>
    </row>
    <row r="30" spans="1:21" ht="14.4" thickBot="1" x14ac:dyDescent="0.35">
      <c r="A30" s="318"/>
      <c r="B30" s="319"/>
      <c r="C30" s="319"/>
      <c r="D30" s="319"/>
      <c r="E30" s="319"/>
      <c r="F30" s="319"/>
      <c r="G30" s="319"/>
      <c r="H30" s="319"/>
      <c r="I30" s="319"/>
      <c r="J30" s="319"/>
      <c r="K30" s="319"/>
      <c r="L30" s="319"/>
      <c r="M30" s="319"/>
      <c r="N30" s="319"/>
      <c r="O30" s="320"/>
      <c r="P30" s="323"/>
      <c r="Q30" s="324" t="s">
        <v>12</v>
      </c>
      <c r="R30" s="325"/>
      <c r="S30" s="70" t="s">
        <v>53</v>
      </c>
      <c r="T30" s="227" t="s">
        <v>190</v>
      </c>
      <c r="U30" s="71">
        <f>U16*U15</f>
        <v>0</v>
      </c>
    </row>
    <row r="31" spans="1:21" x14ac:dyDescent="0.3">
      <c r="T31" s="15"/>
    </row>
  </sheetData>
  <sheetProtection selectLockedCells="1"/>
  <mergeCells count="18">
    <mergeCell ref="Q23:R23"/>
    <mergeCell ref="Q24:R24"/>
    <mergeCell ref="Q26:R26"/>
    <mergeCell ref="W7:Y7"/>
    <mergeCell ref="W6:Y6"/>
    <mergeCell ref="A6:U6"/>
    <mergeCell ref="Q13:T13"/>
    <mergeCell ref="Q14:T14"/>
    <mergeCell ref="A13:O30"/>
    <mergeCell ref="P7:P30"/>
    <mergeCell ref="Q15:T15"/>
    <mergeCell ref="Q16:T16"/>
    <mergeCell ref="Q28:R28"/>
    <mergeCell ref="Q30:R30"/>
    <mergeCell ref="Q20:R20"/>
    <mergeCell ref="Q18:U18"/>
    <mergeCell ref="Q21:R21"/>
    <mergeCell ref="Q22:R22"/>
  </mergeCells>
  <phoneticPr fontId="0" type="noConversion"/>
  <conditionalFormatting sqref="Q3">
    <cfRule type="cellIs" dxfId="14" priority="3" operator="lessThan">
      <formula>45</formula>
    </cfRule>
  </conditionalFormatting>
  <conditionalFormatting sqref="U13">
    <cfRule type="cellIs" dxfId="13" priority="1" operator="lessThan">
      <formula>14.5</formula>
    </cfRule>
  </conditionalFormatting>
  <conditionalFormatting sqref="W7:Y7">
    <cfRule type="cellIs" dxfId="12" priority="2" operator="lessThan">
      <formula>0.5</formula>
    </cfRule>
  </conditionalFormatting>
  <pageMargins left="0.75" right="0.75" top="1" bottom="1" header="0.5" footer="0.5"/>
  <pageSetup paperSize="9" scale="58" fitToHeight="2" orientation="portrait" r:id="rId1"/>
  <headerFooter alignWithMargins="0">
    <oddFooter>&amp;F&amp;RPage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X15"/>
  <sheetViews>
    <sheetView topLeftCell="A2" zoomScaleNormal="100" workbookViewId="0">
      <selection activeCell="Q3" sqref="Q3"/>
    </sheetView>
  </sheetViews>
  <sheetFormatPr defaultColWidth="9.33203125" defaultRowHeight="13.8" x14ac:dyDescent="0.3"/>
  <cols>
    <col min="1" max="1" width="17" style="1" customWidth="1"/>
    <col min="2" max="2" width="54" style="1" customWidth="1"/>
    <col min="3" max="16" width="5.33203125" style="1" customWidth="1"/>
    <col min="17" max="17" width="15.44140625" style="1" customWidth="1"/>
    <col min="18" max="18" width="15.44140625" style="3" customWidth="1"/>
    <col min="19" max="20" width="15.44140625" style="1" customWidth="1"/>
    <col min="21" max="21" width="9.33203125" style="1"/>
    <col min="22" max="24" width="11.109375" style="1" customWidth="1"/>
    <col min="25" max="16384" width="9.33203125" style="1"/>
  </cols>
  <sheetData>
    <row r="1" spans="1:24" hidden="1" x14ac:dyDescent="0.3">
      <c r="A1" s="72"/>
      <c r="B1" s="73"/>
      <c r="C1" s="73"/>
      <c r="D1" s="73"/>
      <c r="E1" s="73"/>
      <c r="F1" s="73"/>
      <c r="G1" s="73"/>
      <c r="H1" s="73"/>
      <c r="I1" s="73"/>
      <c r="J1" s="73"/>
      <c r="K1" s="73"/>
      <c r="L1" s="73"/>
      <c r="M1" s="73"/>
      <c r="N1" s="73"/>
      <c r="O1" s="73"/>
      <c r="P1" s="73"/>
      <c r="Q1" s="73"/>
      <c r="R1" s="74"/>
      <c r="S1" s="73"/>
      <c r="T1" s="75"/>
    </row>
    <row r="2" spans="1:24" x14ac:dyDescent="0.3">
      <c r="A2" s="85"/>
      <c r="B2" s="86"/>
      <c r="C2" s="86"/>
      <c r="D2" s="86"/>
      <c r="E2" s="86"/>
      <c r="F2" s="86"/>
      <c r="G2" s="86"/>
      <c r="H2" s="86"/>
      <c r="I2" s="86"/>
      <c r="J2" s="86"/>
      <c r="K2" s="86"/>
      <c r="L2" s="86"/>
      <c r="M2" s="86"/>
      <c r="N2" s="86"/>
      <c r="O2" s="86"/>
      <c r="P2" s="86"/>
      <c r="Q2" s="87" t="s">
        <v>43</v>
      </c>
      <c r="R2" s="87" t="s">
        <v>14</v>
      </c>
      <c r="S2" s="87" t="s">
        <v>15</v>
      </c>
      <c r="T2" s="88" t="s">
        <v>58</v>
      </c>
    </row>
    <row r="3" spans="1:24" x14ac:dyDescent="0.3">
      <c r="A3" s="82"/>
      <c r="B3" s="50"/>
      <c r="C3" s="50"/>
      <c r="D3" s="50"/>
      <c r="E3" s="50"/>
      <c r="F3" s="50"/>
      <c r="G3" s="50"/>
      <c r="H3" s="50"/>
      <c r="I3" s="50"/>
      <c r="J3" s="50"/>
      <c r="K3" s="50"/>
      <c r="L3" s="50"/>
      <c r="M3" s="50"/>
      <c r="N3" s="50"/>
      <c r="O3" s="50"/>
      <c r="P3" s="50"/>
      <c r="Q3" s="103">
        <v>77</v>
      </c>
      <c r="R3" s="103">
        <v>20</v>
      </c>
      <c r="S3" s="103">
        <v>2</v>
      </c>
      <c r="T3" s="77">
        <v>99</v>
      </c>
    </row>
    <row r="4" spans="1:24" hidden="1" x14ac:dyDescent="0.3">
      <c r="A4" s="83">
        <f>Q3</f>
        <v>77</v>
      </c>
      <c r="B4" s="51">
        <f>R3</f>
        <v>20</v>
      </c>
      <c r="C4" s="51">
        <f>S3</f>
        <v>2</v>
      </c>
      <c r="D4" s="50">
        <v>1.5</v>
      </c>
      <c r="E4" s="50"/>
      <c r="F4" s="50"/>
      <c r="G4" s="50"/>
      <c r="H4" s="50"/>
      <c r="I4" s="50"/>
      <c r="J4" s="50"/>
      <c r="K4" s="50"/>
      <c r="L4" s="50"/>
      <c r="M4" s="50"/>
      <c r="N4" s="50"/>
      <c r="O4" s="50"/>
      <c r="P4" s="50"/>
      <c r="T4" s="65"/>
    </row>
    <row r="5" spans="1:24" ht="5.25" customHeight="1" thickBot="1" x14ac:dyDescent="0.35">
      <c r="A5" s="82"/>
      <c r="B5" s="50"/>
      <c r="C5" s="50"/>
      <c r="D5" s="50"/>
      <c r="E5" s="50"/>
      <c r="F5" s="50"/>
      <c r="G5" s="50"/>
      <c r="H5" s="50"/>
      <c r="I5" s="50"/>
      <c r="J5" s="50"/>
      <c r="K5" s="50"/>
      <c r="L5" s="50"/>
      <c r="M5" s="50"/>
      <c r="N5" s="50"/>
      <c r="O5" s="50"/>
      <c r="P5" s="50"/>
      <c r="Q5" s="50"/>
      <c r="R5" s="53"/>
      <c r="S5" s="50"/>
      <c r="T5" s="84"/>
    </row>
    <row r="6" spans="1:24" ht="16.2" thickBot="1" x14ac:dyDescent="0.35">
      <c r="A6" s="329" t="s">
        <v>33</v>
      </c>
      <c r="B6" s="330"/>
      <c r="C6" s="330"/>
      <c r="D6" s="330"/>
      <c r="E6" s="330"/>
      <c r="F6" s="330"/>
      <c r="G6" s="330"/>
      <c r="H6" s="330"/>
      <c r="I6" s="330"/>
      <c r="J6" s="330"/>
      <c r="K6" s="330"/>
      <c r="L6" s="330"/>
      <c r="M6" s="330"/>
      <c r="N6" s="330"/>
      <c r="O6" s="330"/>
      <c r="P6" s="330"/>
      <c r="Q6" s="330"/>
      <c r="R6" s="330"/>
      <c r="S6" s="330"/>
      <c r="T6" s="331"/>
      <c r="V6" s="341" t="s">
        <v>109</v>
      </c>
      <c r="W6" s="342"/>
      <c r="X6" s="343"/>
    </row>
    <row r="7" spans="1:24" ht="108" customHeight="1" thickBot="1" x14ac:dyDescent="0.35">
      <c r="A7" s="78" t="s">
        <v>0</v>
      </c>
      <c r="B7" s="20" t="s">
        <v>1</v>
      </c>
      <c r="C7" s="21" t="s">
        <v>2</v>
      </c>
      <c r="D7" s="21" t="s">
        <v>20</v>
      </c>
      <c r="E7" s="21" t="s">
        <v>6</v>
      </c>
      <c r="F7" s="22" t="s">
        <v>25</v>
      </c>
      <c r="G7" s="22" t="s">
        <v>24</v>
      </c>
      <c r="H7" s="22" t="s">
        <v>26</v>
      </c>
      <c r="I7" s="21" t="s">
        <v>21</v>
      </c>
      <c r="J7" s="21" t="s">
        <v>28</v>
      </c>
      <c r="K7" s="21" t="s">
        <v>27</v>
      </c>
      <c r="L7" s="21" t="s">
        <v>10</v>
      </c>
      <c r="M7" s="21" t="s">
        <v>22</v>
      </c>
      <c r="N7" s="21" t="s">
        <v>3</v>
      </c>
      <c r="O7" s="23" t="s">
        <v>23</v>
      </c>
      <c r="P7" s="21" t="s">
        <v>11</v>
      </c>
      <c r="Q7" s="24" t="s">
        <v>29</v>
      </c>
      <c r="R7" s="25" t="s">
        <v>31</v>
      </c>
      <c r="S7" s="25" t="s">
        <v>32</v>
      </c>
      <c r="T7" s="79" t="s">
        <v>59</v>
      </c>
      <c r="V7" s="302">
        <f>1-(OVERVIEW!K5/INTRUDER!Q3)</f>
        <v>0.59831168831168835</v>
      </c>
      <c r="W7" s="303"/>
      <c r="X7" s="304"/>
    </row>
    <row r="8" spans="1:24" s="6" customFormat="1" ht="16.2" thickBot="1" x14ac:dyDescent="0.3">
      <c r="A8" s="102">
        <f>OVERVIEW!B2</f>
        <v>0</v>
      </c>
      <c r="B8" s="4">
        <f>OVERVIEW!B1</f>
        <v>0</v>
      </c>
      <c r="C8" s="2">
        <v>0</v>
      </c>
      <c r="D8" s="2">
        <v>0</v>
      </c>
      <c r="E8" s="2">
        <v>0</v>
      </c>
      <c r="F8" s="2">
        <v>0</v>
      </c>
      <c r="G8" s="2">
        <v>0</v>
      </c>
      <c r="H8" s="2">
        <v>0</v>
      </c>
      <c r="I8" s="2">
        <v>0</v>
      </c>
      <c r="J8" s="2">
        <v>0</v>
      </c>
      <c r="K8" s="2">
        <v>0</v>
      </c>
      <c r="L8" s="2">
        <v>0</v>
      </c>
      <c r="M8" s="2">
        <v>0</v>
      </c>
      <c r="N8" s="2">
        <v>0</v>
      </c>
      <c r="O8" s="2">
        <v>0</v>
      </c>
      <c r="P8" s="7">
        <v>0</v>
      </c>
      <c r="Q8" s="27">
        <f>IF(SUM(C8:P8)=0,(0),IF((((C8*C9*A4+D8*D9*A4+E8*E9*A4+F8*F9*A4+G8*G9*A4+H8*H9*A4+I8*I9*A4+J8*J9*A4+K8*K9*A4+L8*L9*A4+M8*M9*A4+N8*N9*A4+O8*O9*A4+P8*P9*A4)+(R3/60*Q3))*S3)&lt;T3,(T3),(((C8*C9*A4+D8*D9*A4+E8*E9*A4+F8*F9*A4+G8*G9*A4+H8*H9*A4+I8*I9*A4+J8*J9*A4+K8*K9*A4+L8*L9*A4+M8*M9*A4+N8*N9*A4+O8*O9*A4+P8*P9*A4)+(R3/60*Q3))*S3)))</f>
        <v>0</v>
      </c>
      <c r="R8" s="10">
        <v>0</v>
      </c>
      <c r="S8" s="19">
        <v>0</v>
      </c>
      <c r="T8" s="26">
        <f>S11</f>
        <v>0</v>
      </c>
    </row>
    <row r="9" spans="1:24" s="3" customFormat="1" hidden="1" x14ac:dyDescent="0.3">
      <c r="A9" s="80"/>
      <c r="C9" s="113">
        <v>0.33</v>
      </c>
      <c r="D9" s="113">
        <v>2.5000000000000001E-2</v>
      </c>
      <c r="E9" s="113">
        <v>0.16700000000000001</v>
      </c>
      <c r="F9" s="113">
        <v>2.5000000000000001E-2</v>
      </c>
      <c r="G9" s="113">
        <v>2.5000000000000001E-2</v>
      </c>
      <c r="H9" s="113">
        <v>3.3000000000000002E-2</v>
      </c>
      <c r="I9" s="113">
        <v>2.5000000000000001E-2</v>
      </c>
      <c r="J9" s="113">
        <v>3.3000000000000002E-2</v>
      </c>
      <c r="K9" s="113">
        <v>3.3000000000000002E-2</v>
      </c>
      <c r="L9" s="113">
        <v>3.3000000000000002E-2</v>
      </c>
      <c r="M9" s="113">
        <v>8.3000000000000004E-2</v>
      </c>
      <c r="N9" s="113">
        <v>2.5000000000000001E-2</v>
      </c>
      <c r="O9" s="113">
        <v>0.16600000000000001</v>
      </c>
      <c r="P9" s="113">
        <v>0.25</v>
      </c>
      <c r="R9" s="3">
        <v>0.5</v>
      </c>
      <c r="S9" s="3">
        <v>0.5</v>
      </c>
      <c r="T9" s="81"/>
    </row>
    <row r="10" spans="1:24" s="3" customFormat="1" ht="14.4" hidden="1" thickBot="1" x14ac:dyDescent="0.35">
      <c r="A10" s="80"/>
      <c r="R10" s="9">
        <f>Q8*R9*R8</f>
        <v>0</v>
      </c>
      <c r="S10" s="9">
        <f>S8*S9*Q8</f>
        <v>0</v>
      </c>
      <c r="T10" s="81"/>
    </row>
    <row r="11" spans="1:24" ht="16.2" thickBot="1" x14ac:dyDescent="0.35">
      <c r="A11" s="344" t="s">
        <v>184</v>
      </c>
      <c r="B11" s="345"/>
      <c r="C11" s="345"/>
      <c r="D11" s="345"/>
      <c r="E11" s="345"/>
      <c r="F11" s="345"/>
      <c r="G11" s="345"/>
      <c r="H11" s="345"/>
      <c r="I11" s="345"/>
      <c r="J11" s="345"/>
      <c r="K11" s="345"/>
      <c r="L11" s="345"/>
      <c r="M11" s="345"/>
      <c r="N11" s="345"/>
      <c r="O11" s="345"/>
      <c r="P11" s="345"/>
      <c r="R11" s="8" t="s">
        <v>30</v>
      </c>
      <c r="S11" s="11">
        <f>Q8+R10+S10</f>
        <v>0</v>
      </c>
      <c r="T11" s="65"/>
    </row>
    <row r="12" spans="1:24" ht="7.5" customHeight="1" thickBot="1" x14ac:dyDescent="0.35">
      <c r="A12" s="82"/>
      <c r="B12" s="50"/>
      <c r="C12" s="50"/>
      <c r="D12" s="50"/>
      <c r="E12" s="50"/>
      <c r="F12" s="50"/>
      <c r="G12" s="50"/>
      <c r="H12" s="50"/>
      <c r="I12" s="50"/>
      <c r="J12" s="50"/>
      <c r="K12" s="50"/>
      <c r="L12" s="50"/>
      <c r="M12" s="50"/>
      <c r="N12" s="50"/>
      <c r="O12" s="50"/>
      <c r="P12" s="50"/>
      <c r="Q12" s="50"/>
      <c r="R12" s="53"/>
      <c r="S12" s="50"/>
      <c r="T12" s="84"/>
    </row>
    <row r="13" spans="1:24" ht="14.4" thickBot="1" x14ac:dyDescent="0.35">
      <c r="A13" s="332" t="s">
        <v>19</v>
      </c>
      <c r="B13" s="333"/>
      <c r="C13" s="333"/>
      <c r="D13" s="333"/>
      <c r="E13" s="333"/>
      <c r="F13" s="333"/>
      <c r="G13" s="333"/>
      <c r="H13" s="333"/>
      <c r="I13" s="333"/>
      <c r="J13" s="333"/>
      <c r="K13" s="333"/>
      <c r="L13" s="333"/>
      <c r="M13" s="333"/>
      <c r="N13" s="333"/>
      <c r="O13" s="333"/>
      <c r="P13" s="333"/>
      <c r="Q13" s="333"/>
      <c r="R13" s="333"/>
      <c r="S13" s="333"/>
      <c r="T13" s="334"/>
    </row>
    <row r="14" spans="1:24" x14ac:dyDescent="0.3">
      <c r="A14" s="335"/>
      <c r="B14" s="336"/>
      <c r="C14" s="336"/>
      <c r="D14" s="336"/>
      <c r="E14" s="336"/>
      <c r="F14" s="336"/>
      <c r="G14" s="336"/>
      <c r="H14" s="336"/>
      <c r="I14" s="336"/>
      <c r="J14" s="336"/>
      <c r="K14" s="336"/>
      <c r="L14" s="336"/>
      <c r="M14" s="336"/>
      <c r="N14" s="336"/>
      <c r="O14" s="336"/>
      <c r="P14" s="336"/>
      <c r="Q14" s="336"/>
      <c r="R14" s="336"/>
      <c r="S14" s="336"/>
      <c r="T14" s="337"/>
    </row>
    <row r="15" spans="1:24" ht="145.5" customHeight="1" thickBot="1" x14ac:dyDescent="0.35">
      <c r="A15" s="338"/>
      <c r="B15" s="339"/>
      <c r="C15" s="339"/>
      <c r="D15" s="339"/>
      <c r="E15" s="339"/>
      <c r="F15" s="339"/>
      <c r="G15" s="339"/>
      <c r="H15" s="339"/>
      <c r="I15" s="339"/>
      <c r="J15" s="339"/>
      <c r="K15" s="339"/>
      <c r="L15" s="339"/>
      <c r="M15" s="339"/>
      <c r="N15" s="339"/>
      <c r="O15" s="339"/>
      <c r="P15" s="339"/>
      <c r="Q15" s="339"/>
      <c r="R15" s="339"/>
      <c r="S15" s="339"/>
      <c r="T15" s="340"/>
    </row>
  </sheetData>
  <sheetProtection selectLockedCells="1"/>
  <mergeCells count="6">
    <mergeCell ref="A6:T6"/>
    <mergeCell ref="A13:T13"/>
    <mergeCell ref="A14:T15"/>
    <mergeCell ref="V7:X7"/>
    <mergeCell ref="V6:X6"/>
    <mergeCell ref="A11:P11"/>
  </mergeCells>
  <conditionalFormatting sqref="A11:P11">
    <cfRule type="expression" dxfId="11" priority="1">
      <formula>P8&gt;0</formula>
    </cfRule>
  </conditionalFormatting>
  <conditionalFormatting sqref="Q3">
    <cfRule type="cellIs" dxfId="10" priority="4" operator="lessThan">
      <formula>45</formula>
    </cfRule>
  </conditionalFormatting>
  <conditionalFormatting sqref="R8:S8">
    <cfRule type="colorScale" priority="5">
      <colorScale>
        <cfvo type="num" val="0"/>
        <cfvo type="num" val="1"/>
        <color theme="5" tint="0.39997558519241921"/>
        <color theme="6" tint="0.39997558519241921"/>
      </colorScale>
    </cfRule>
  </conditionalFormatting>
  <conditionalFormatting sqref="V7:X7">
    <cfRule type="cellIs" dxfId="9" priority="3" operator="lessThan">
      <formula>0.5</formula>
    </cfRule>
  </conditionalFormatting>
  <pageMargins left="0.75" right="0.75" top="1" bottom="1" header="0.5" footer="0.5"/>
  <pageSetup paperSize="9" scale="58" fitToHeight="2" orientation="portrait" r:id="rId1"/>
  <headerFooter alignWithMargins="0">
    <oddFooter>&amp;F&amp;RPage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U26"/>
  <sheetViews>
    <sheetView topLeftCell="A2" workbookViewId="0">
      <selection activeCell="N3" sqref="N3"/>
    </sheetView>
  </sheetViews>
  <sheetFormatPr defaultColWidth="9.33203125" defaultRowHeight="13.8" x14ac:dyDescent="0.3"/>
  <cols>
    <col min="1" max="1" width="17" style="1" customWidth="1"/>
    <col min="2" max="2" width="54" style="1" customWidth="1"/>
    <col min="3" max="13" width="6" style="1" customWidth="1"/>
    <col min="14" max="14" width="15.44140625" style="1" customWidth="1"/>
    <col min="15" max="15" width="15.44140625" style="3" customWidth="1"/>
    <col min="16" max="16" width="30.77734375" style="1" customWidth="1"/>
    <col min="17" max="17" width="15.44140625" style="1" customWidth="1"/>
    <col min="18" max="18" width="10" style="1" bestFit="1" customWidth="1"/>
    <col min="19" max="21" width="12.44140625" style="1" customWidth="1"/>
    <col min="22" max="16384" width="9.33203125" style="1"/>
  </cols>
  <sheetData>
    <row r="1" spans="1:21" hidden="1" x14ac:dyDescent="0.3"/>
    <row r="2" spans="1:21" x14ac:dyDescent="0.3">
      <c r="A2" s="50"/>
      <c r="B2" s="50"/>
      <c r="C2" s="50"/>
      <c r="D2" s="50"/>
      <c r="E2" s="50"/>
      <c r="F2" s="50"/>
      <c r="G2" s="50"/>
      <c r="H2" s="50"/>
      <c r="I2" s="50"/>
      <c r="J2" s="50"/>
      <c r="K2" s="50"/>
      <c r="L2" s="50"/>
      <c r="M2" s="50"/>
      <c r="N2" s="30" t="s">
        <v>43</v>
      </c>
      <c r="O2" s="30" t="s">
        <v>14</v>
      </c>
      <c r="P2" s="30" t="s">
        <v>15</v>
      </c>
      <c r="Q2" s="31" t="s">
        <v>58</v>
      </c>
    </row>
    <row r="3" spans="1:21" x14ac:dyDescent="0.3">
      <c r="A3" s="50"/>
      <c r="B3" s="50"/>
      <c r="C3" s="50"/>
      <c r="D3" s="50"/>
      <c r="E3" s="50"/>
      <c r="F3" s="50"/>
      <c r="G3" s="50"/>
      <c r="H3" s="50"/>
      <c r="I3" s="50"/>
      <c r="J3" s="50"/>
      <c r="K3" s="50"/>
      <c r="L3" s="50"/>
      <c r="M3" s="50"/>
      <c r="N3" s="103">
        <v>77</v>
      </c>
      <c r="O3" s="103">
        <v>20</v>
      </c>
      <c r="P3" s="103">
        <v>1</v>
      </c>
      <c r="Q3" s="18">
        <v>99</v>
      </c>
    </row>
    <row r="4" spans="1:21" hidden="1" x14ac:dyDescent="0.3">
      <c r="A4" s="51">
        <f>N3</f>
        <v>77</v>
      </c>
      <c r="B4" s="51">
        <f>O3</f>
        <v>20</v>
      </c>
      <c r="C4" s="51">
        <f>P3</f>
        <v>1</v>
      </c>
      <c r="D4" s="50">
        <v>1.5</v>
      </c>
      <c r="E4" s="50"/>
      <c r="F4" s="50"/>
      <c r="G4" s="50"/>
      <c r="H4" s="50"/>
      <c r="I4" s="50"/>
      <c r="J4" s="50"/>
      <c r="K4" s="50"/>
      <c r="L4" s="50"/>
      <c r="M4" s="50"/>
    </row>
    <row r="5" spans="1:21" ht="3.75" customHeight="1" thickBot="1" x14ac:dyDescent="0.35">
      <c r="A5" s="50"/>
      <c r="B5" s="50"/>
      <c r="C5" s="50"/>
      <c r="D5" s="50"/>
      <c r="E5" s="50"/>
      <c r="F5" s="50"/>
      <c r="G5" s="50"/>
      <c r="H5" s="50"/>
      <c r="I5" s="50"/>
      <c r="J5" s="50"/>
      <c r="K5" s="50"/>
      <c r="L5" s="50"/>
      <c r="M5" s="50"/>
      <c r="N5" s="50"/>
      <c r="O5" s="53"/>
      <c r="P5" s="50"/>
      <c r="Q5" s="50"/>
    </row>
    <row r="6" spans="1:21" ht="16.2" thickBot="1" x14ac:dyDescent="0.35">
      <c r="A6" s="349" t="s">
        <v>60</v>
      </c>
      <c r="B6" s="350"/>
      <c r="C6" s="350"/>
      <c r="D6" s="350"/>
      <c r="E6" s="350"/>
      <c r="F6" s="350"/>
      <c r="G6" s="350"/>
      <c r="H6" s="350"/>
      <c r="I6" s="350"/>
      <c r="J6" s="350"/>
      <c r="K6" s="350"/>
      <c r="L6" s="350"/>
      <c r="M6" s="350"/>
      <c r="N6" s="350"/>
      <c r="O6" s="350"/>
      <c r="P6" s="350"/>
      <c r="Q6" s="351"/>
    </row>
    <row r="7" spans="1:21" ht="16.2" thickBot="1" x14ac:dyDescent="0.35">
      <c r="A7" s="34"/>
      <c r="B7" s="35"/>
      <c r="C7" s="355" t="s">
        <v>72</v>
      </c>
      <c r="D7" s="356"/>
      <c r="E7" s="356"/>
      <c r="F7" s="357"/>
      <c r="G7" s="352" t="s">
        <v>71</v>
      </c>
      <c r="H7" s="353"/>
      <c r="I7" s="353"/>
      <c r="J7" s="354"/>
      <c r="K7" s="361" t="s">
        <v>77</v>
      </c>
      <c r="L7" s="362"/>
      <c r="M7" s="363"/>
      <c r="N7" s="358" t="s">
        <v>76</v>
      </c>
      <c r="O7" s="359"/>
      <c r="P7" s="359"/>
      <c r="Q7" s="360"/>
      <c r="S7" s="346" t="s">
        <v>109</v>
      </c>
      <c r="T7" s="347"/>
      <c r="U7" s="348"/>
    </row>
    <row r="8" spans="1:21" ht="120" customHeight="1" thickBot="1" x14ac:dyDescent="0.35">
      <c r="A8" s="20" t="s">
        <v>0</v>
      </c>
      <c r="B8" s="41" t="s">
        <v>1</v>
      </c>
      <c r="C8" s="42" t="s">
        <v>63</v>
      </c>
      <c r="D8" s="21" t="s">
        <v>64</v>
      </c>
      <c r="E8" s="21" t="s">
        <v>65</v>
      </c>
      <c r="F8" s="43" t="s">
        <v>66</v>
      </c>
      <c r="G8" s="36" t="s">
        <v>67</v>
      </c>
      <c r="H8" s="22" t="s">
        <v>68</v>
      </c>
      <c r="I8" s="21" t="s">
        <v>69</v>
      </c>
      <c r="J8" s="37" t="s">
        <v>70</v>
      </c>
      <c r="K8" s="47" t="s">
        <v>73</v>
      </c>
      <c r="L8" s="48" t="s">
        <v>74</v>
      </c>
      <c r="M8" s="49" t="s">
        <v>75</v>
      </c>
      <c r="N8" s="137" t="s">
        <v>61</v>
      </c>
      <c r="O8" s="138" t="s">
        <v>32</v>
      </c>
      <c r="P8" s="148" t="s">
        <v>124</v>
      </c>
      <c r="Q8" s="128" t="s">
        <v>59</v>
      </c>
      <c r="R8" s="32"/>
      <c r="S8" s="302">
        <f>1-(OVERVIEW!K5/CCTV!N3)</f>
        <v>0.59831168831168835</v>
      </c>
      <c r="T8" s="303"/>
      <c r="U8" s="304"/>
    </row>
    <row r="9" spans="1:21" s="6" customFormat="1" ht="16.2" thickBot="1" x14ac:dyDescent="0.3">
      <c r="A9" s="104">
        <f>OVERVIEW!B2</f>
        <v>0</v>
      </c>
      <c r="B9" s="19">
        <f>OVERVIEW!B1</f>
        <v>0</v>
      </c>
      <c r="C9" s="38">
        <v>0</v>
      </c>
      <c r="D9" s="39">
        <v>0</v>
      </c>
      <c r="E9" s="39">
        <v>0</v>
      </c>
      <c r="F9" s="40">
        <v>0</v>
      </c>
      <c r="G9" s="38">
        <v>0</v>
      </c>
      <c r="H9" s="39">
        <v>0</v>
      </c>
      <c r="I9" s="39">
        <v>0</v>
      </c>
      <c r="J9" s="40">
        <v>0</v>
      </c>
      <c r="K9" s="38">
        <v>0</v>
      </c>
      <c r="L9" s="39">
        <v>0</v>
      </c>
      <c r="M9" s="40">
        <v>0</v>
      </c>
      <c r="N9" s="27">
        <f>IF(SUM(C9:M9)=0,(0),IF((((C9*C11*A4+D9*D11*A4+E9*E11*A4+F9*F11*A4+G9*G11*A4+H9*H11*A4+I9*I11*A4+J9*J11*A4+K9*K11*A4+L9*L11*A4+M9*M11*A4)+(O3/60*N3))*P3)&lt;Q3,(Q3),(((C9*C11*A4+D9*D11*A4+E9*E11*A4+F9*F11*A4+G9*G11*A4+H9*H11*A4+I9*I11*A4+J9*J11*A4+K9*K11*A4+L9*L11*A4+M9*M11*A4)+(O3/60*N3))*P3)))</f>
        <v>0</v>
      </c>
      <c r="O9" s="139">
        <v>0</v>
      </c>
      <c r="P9" s="140">
        <f>O23</f>
        <v>0</v>
      </c>
      <c r="Q9" s="26">
        <f>P13</f>
        <v>0</v>
      </c>
    </row>
    <row r="10" spans="1:21" s="6" customFormat="1" ht="16.2" thickBot="1" x14ac:dyDescent="0.3">
      <c r="A10" s="133"/>
      <c r="C10" s="107"/>
      <c r="D10" s="107"/>
      <c r="E10" s="107"/>
      <c r="F10" s="107"/>
      <c r="G10" s="107"/>
      <c r="H10" s="107"/>
      <c r="I10" s="107"/>
      <c r="J10" s="107"/>
      <c r="K10" s="107"/>
      <c r="L10" s="107"/>
      <c r="M10" s="107"/>
      <c r="N10" s="134"/>
      <c r="O10" s="136" t="s">
        <v>116</v>
      </c>
      <c r="P10" s="135">
        <v>0</v>
      </c>
    </row>
    <row r="11" spans="1:21" s="3" customFormat="1" hidden="1" x14ac:dyDescent="0.3">
      <c r="C11" s="3">
        <v>8.3000000000000004E-2</v>
      </c>
      <c r="D11" s="3">
        <v>0.25</v>
      </c>
      <c r="E11" s="3">
        <v>0.5</v>
      </c>
      <c r="F11" s="3">
        <v>0.75</v>
      </c>
      <c r="G11" s="3">
        <v>0.125</v>
      </c>
      <c r="H11" s="3">
        <v>0.25</v>
      </c>
      <c r="I11" s="3">
        <v>0.25</v>
      </c>
      <c r="J11" s="3">
        <v>0.5</v>
      </c>
      <c r="K11" s="3">
        <v>0.1</v>
      </c>
      <c r="L11" s="3">
        <v>0.1</v>
      </c>
      <c r="M11" s="3">
        <v>0.5</v>
      </c>
      <c r="O11" s="3">
        <v>0.5</v>
      </c>
      <c r="P11" s="3">
        <v>1.25</v>
      </c>
      <c r="Q11" s="9">
        <f>P10*N3/2</f>
        <v>0</v>
      </c>
    </row>
    <row r="12" spans="1:21" s="3" customFormat="1" ht="14.4" hidden="1" thickBot="1" x14ac:dyDescent="0.35">
      <c r="O12" s="9">
        <f>N9*O11*O9</f>
        <v>0</v>
      </c>
      <c r="P12" s="9">
        <f>P11*P9</f>
        <v>0</v>
      </c>
    </row>
    <row r="13" spans="1:21" ht="16.2" hidden="1" thickBot="1" x14ac:dyDescent="0.35">
      <c r="O13" s="8" t="s">
        <v>30</v>
      </c>
      <c r="P13" s="44">
        <f>N9+O12+P12+Q11</f>
        <v>0</v>
      </c>
      <c r="Q13" s="132"/>
    </row>
    <row r="14" spans="1:21" ht="3.75" customHeight="1" thickBot="1" x14ac:dyDescent="0.35">
      <c r="A14" s="50"/>
      <c r="B14" s="50"/>
      <c r="C14" s="50"/>
      <c r="D14" s="50"/>
      <c r="E14" s="50"/>
      <c r="F14" s="50"/>
      <c r="G14" s="50"/>
      <c r="H14" s="50"/>
      <c r="I14" s="50"/>
      <c r="J14" s="50"/>
      <c r="K14" s="50"/>
      <c r="L14" s="50"/>
      <c r="M14" s="50"/>
      <c r="N14" s="50"/>
      <c r="O14" s="53"/>
      <c r="P14" s="50"/>
      <c r="Q14" s="50"/>
    </row>
    <row r="15" spans="1:21" ht="14.4" thickBot="1" x14ac:dyDescent="0.35">
      <c r="A15" s="332" t="s">
        <v>19</v>
      </c>
      <c r="B15" s="333"/>
      <c r="C15" s="333"/>
      <c r="D15" s="333"/>
      <c r="E15" s="333"/>
      <c r="F15" s="333"/>
      <c r="G15" s="333"/>
      <c r="H15" s="333"/>
      <c r="I15" s="333"/>
      <c r="J15" s="333"/>
      <c r="K15" s="333"/>
      <c r="L15" s="333"/>
      <c r="M15" s="333"/>
      <c r="N15" s="333"/>
      <c r="O15" s="333"/>
      <c r="P15" s="333"/>
      <c r="Q15" s="334"/>
    </row>
    <row r="16" spans="1:21" x14ac:dyDescent="0.3">
      <c r="A16" s="335"/>
      <c r="B16" s="336"/>
      <c r="C16" s="336"/>
      <c r="D16" s="336"/>
      <c r="E16" s="336"/>
      <c r="F16" s="336"/>
      <c r="G16" s="336"/>
      <c r="H16" s="336"/>
      <c r="I16" s="336"/>
      <c r="J16" s="336"/>
      <c r="K16" s="336"/>
      <c r="L16" s="336"/>
      <c r="M16" s="336"/>
      <c r="N16" s="336"/>
      <c r="O16" s="336"/>
      <c r="P16" s="336"/>
      <c r="Q16" s="337"/>
    </row>
    <row r="17" spans="1:18" ht="145.5" customHeight="1" thickBot="1" x14ac:dyDescent="0.35">
      <c r="A17" s="338"/>
      <c r="B17" s="339"/>
      <c r="C17" s="339"/>
      <c r="D17" s="339"/>
      <c r="E17" s="339"/>
      <c r="F17" s="339"/>
      <c r="G17" s="339"/>
      <c r="H17" s="339"/>
      <c r="I17" s="339"/>
      <c r="J17" s="339"/>
      <c r="K17" s="339"/>
      <c r="L17" s="339"/>
      <c r="M17" s="339"/>
      <c r="N17" s="339"/>
      <c r="O17" s="339"/>
      <c r="P17" s="339"/>
      <c r="Q17" s="340"/>
    </row>
    <row r="21" spans="1:18" hidden="1" x14ac:dyDescent="0.3">
      <c r="N21" s="149" t="s">
        <v>127</v>
      </c>
      <c r="O21" s="150"/>
      <c r="P21" s="151"/>
      <c r="Q21" s="151"/>
      <c r="R21" s="152"/>
    </row>
    <row r="22" spans="1:18" hidden="1" x14ac:dyDescent="0.3">
      <c r="N22" s="153" t="s">
        <v>125</v>
      </c>
      <c r="O22" s="154">
        <v>1</v>
      </c>
      <c r="P22" s="153" t="s">
        <v>123</v>
      </c>
      <c r="Q22" s="153">
        <v>1</v>
      </c>
      <c r="R22" s="153">
        <v>0</v>
      </c>
    </row>
    <row r="23" spans="1:18" hidden="1" x14ac:dyDescent="0.3">
      <c r="N23" s="153" t="s">
        <v>126</v>
      </c>
      <c r="O23" s="154">
        <f>VLOOKUP(O22,Q22:R26,2)</f>
        <v>0</v>
      </c>
      <c r="P23" s="153" t="s">
        <v>120</v>
      </c>
      <c r="Q23" s="153">
        <v>2</v>
      </c>
      <c r="R23" s="153">
        <v>204</v>
      </c>
    </row>
    <row r="24" spans="1:18" hidden="1" x14ac:dyDescent="0.3">
      <c r="P24" s="153" t="s">
        <v>119</v>
      </c>
      <c r="Q24" s="153">
        <v>3</v>
      </c>
      <c r="R24" s="153">
        <v>408</v>
      </c>
    </row>
    <row r="25" spans="1:18" hidden="1" x14ac:dyDescent="0.3">
      <c r="P25" s="153" t="s">
        <v>121</v>
      </c>
      <c r="Q25" s="153">
        <v>4</v>
      </c>
      <c r="R25" s="153">
        <v>612</v>
      </c>
    </row>
    <row r="26" spans="1:18" hidden="1" x14ac:dyDescent="0.3">
      <c r="P26" s="153" t="s">
        <v>122</v>
      </c>
      <c r="Q26" s="153">
        <v>5</v>
      </c>
      <c r="R26" s="153">
        <v>0</v>
      </c>
    </row>
  </sheetData>
  <sheetProtection selectLockedCells="1"/>
  <mergeCells count="9">
    <mergeCell ref="S8:U8"/>
    <mergeCell ref="S7:U7"/>
    <mergeCell ref="A6:Q6"/>
    <mergeCell ref="A15:Q15"/>
    <mergeCell ref="A16:Q17"/>
    <mergeCell ref="G7:J7"/>
    <mergeCell ref="C7:F7"/>
    <mergeCell ref="N7:Q7"/>
    <mergeCell ref="K7:M7"/>
  </mergeCells>
  <conditionalFormatting sqref="N3">
    <cfRule type="cellIs" dxfId="8" priority="3" operator="lessThan">
      <formula>45</formula>
    </cfRule>
  </conditionalFormatting>
  <conditionalFormatting sqref="O9:P9 P10">
    <cfRule type="colorScale" priority="4">
      <colorScale>
        <cfvo type="num" val="0"/>
        <cfvo type="num" val="1"/>
        <color theme="5" tint="0.39997558519241921"/>
        <color theme="6" tint="0.39997558519241921"/>
      </colorScale>
    </cfRule>
  </conditionalFormatting>
  <conditionalFormatting sqref="S8:U8">
    <cfRule type="cellIs" dxfId="7" priority="2" operator="lessThan">
      <formula>0.5</formula>
    </cfRule>
  </conditionalFormatting>
  <pageMargins left="0.7" right="0.7" top="0.75" bottom="0.75" header="0.3" footer="0.3"/>
  <pageSetup paperSize="9" orientation="portrait" horizontalDpi="4294967293"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Drop Down 2">
              <controlPr defaultSize="0" autoLine="0" autoPict="0">
                <anchor>
                  <from>
                    <xdr:col>15</xdr:col>
                    <xdr:colOff>7620</xdr:colOff>
                    <xdr:row>7</xdr:row>
                    <xdr:rowOff>1295400</xdr:rowOff>
                  </from>
                  <to>
                    <xdr:col>15</xdr:col>
                    <xdr:colOff>1752600</xdr:colOff>
                    <xdr:row>7</xdr:row>
                    <xdr:rowOff>1508760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M16"/>
  <sheetViews>
    <sheetView topLeftCell="A2" workbookViewId="0">
      <selection activeCell="F3" sqref="F3"/>
    </sheetView>
  </sheetViews>
  <sheetFormatPr defaultColWidth="9.33203125" defaultRowHeight="13.8" x14ac:dyDescent="0.3"/>
  <cols>
    <col min="1" max="1" width="17" style="1" customWidth="1"/>
    <col min="2" max="2" width="54" style="1" customWidth="1"/>
    <col min="3" max="5" width="6" style="1" customWidth="1"/>
    <col min="6" max="6" width="15.44140625" style="1" customWidth="1"/>
    <col min="7" max="7" width="15.44140625" style="3" customWidth="1"/>
    <col min="8" max="9" width="15.44140625" style="1" customWidth="1"/>
    <col min="10" max="10" width="9.33203125" style="1"/>
    <col min="11" max="13" width="11.77734375" style="1" customWidth="1"/>
    <col min="14" max="16384" width="9.33203125" style="1"/>
  </cols>
  <sheetData>
    <row r="1" spans="1:13" hidden="1" x14ac:dyDescent="0.3"/>
    <row r="2" spans="1:13" x14ac:dyDescent="0.3">
      <c r="A2" s="50"/>
      <c r="B2" s="50"/>
      <c r="C2" s="50"/>
      <c r="D2" s="50"/>
      <c r="E2" s="50"/>
      <c r="F2" s="28" t="s">
        <v>43</v>
      </c>
      <c r="G2" s="28" t="s">
        <v>14</v>
      </c>
      <c r="H2" s="28" t="s">
        <v>15</v>
      </c>
      <c r="I2" s="29" t="s">
        <v>58</v>
      </c>
    </row>
    <row r="3" spans="1:13" x14ac:dyDescent="0.3">
      <c r="A3" s="50"/>
      <c r="B3" s="50"/>
      <c r="C3" s="50"/>
      <c r="D3" s="50"/>
      <c r="E3" s="50"/>
      <c r="F3" s="103">
        <v>77</v>
      </c>
      <c r="G3" s="103">
        <v>20</v>
      </c>
      <c r="H3" s="103">
        <v>1</v>
      </c>
      <c r="I3" s="18">
        <v>99</v>
      </c>
    </row>
    <row r="4" spans="1:13" hidden="1" x14ac:dyDescent="0.3">
      <c r="A4" s="51">
        <f>F3</f>
        <v>77</v>
      </c>
      <c r="B4" s="51">
        <f>G3</f>
        <v>20</v>
      </c>
      <c r="C4" s="51">
        <f>H3</f>
        <v>1</v>
      </c>
      <c r="D4" s="50"/>
      <c r="E4" s="50"/>
    </row>
    <row r="5" spans="1:13" ht="3.75" customHeight="1" thickBot="1" x14ac:dyDescent="0.35">
      <c r="A5" s="50"/>
      <c r="B5" s="50"/>
      <c r="C5" s="50"/>
      <c r="D5" s="50"/>
      <c r="E5" s="50"/>
      <c r="F5" s="50"/>
      <c r="G5" s="53"/>
      <c r="H5" s="50"/>
      <c r="I5" s="50"/>
    </row>
    <row r="6" spans="1:13" ht="16.2" thickBot="1" x14ac:dyDescent="0.35">
      <c r="A6" s="364" t="s">
        <v>81</v>
      </c>
      <c r="B6" s="365"/>
      <c r="C6" s="365"/>
      <c r="D6" s="365"/>
      <c r="E6" s="365"/>
      <c r="F6" s="365"/>
      <c r="G6" s="365"/>
      <c r="H6" s="365"/>
      <c r="I6" s="366"/>
    </row>
    <row r="7" spans="1:13" ht="16.2" thickBot="1" x14ac:dyDescent="0.35">
      <c r="A7" s="374"/>
      <c r="B7" s="375"/>
      <c r="C7" s="375"/>
      <c r="D7" s="375"/>
      <c r="E7" s="376"/>
      <c r="F7" s="358" t="s">
        <v>76</v>
      </c>
      <c r="G7" s="359"/>
      <c r="H7" s="367"/>
      <c r="I7" s="360"/>
      <c r="K7" s="371" t="s">
        <v>109</v>
      </c>
      <c r="L7" s="372"/>
      <c r="M7" s="373"/>
    </row>
    <row r="8" spans="1:13" ht="123.75" customHeight="1" thickBot="1" x14ac:dyDescent="0.35">
      <c r="A8" s="20" t="s">
        <v>0</v>
      </c>
      <c r="B8" s="41" t="s">
        <v>1</v>
      </c>
      <c r="C8" s="129" t="s">
        <v>82</v>
      </c>
      <c r="D8" s="130" t="s">
        <v>83</v>
      </c>
      <c r="E8" s="131" t="s">
        <v>84</v>
      </c>
      <c r="F8" s="45" t="s">
        <v>85</v>
      </c>
      <c r="G8" s="141" t="s">
        <v>32</v>
      </c>
      <c r="H8" s="144"/>
      <c r="I8" s="142" t="s">
        <v>117</v>
      </c>
      <c r="J8" s="32"/>
      <c r="K8" s="368">
        <f>1-(OVERVIEW!K5/ACCESS!F3)</f>
        <v>0.59831168831168835</v>
      </c>
      <c r="L8" s="369"/>
      <c r="M8" s="370"/>
    </row>
    <row r="9" spans="1:13" s="6" customFormat="1" ht="16.2" thickBot="1" x14ac:dyDescent="0.3">
      <c r="A9" s="104">
        <f>OVERVIEW!B2</f>
        <v>0</v>
      </c>
      <c r="B9" s="19">
        <f>OVERVIEW!B1</f>
        <v>0</v>
      </c>
      <c r="C9" s="92">
        <v>0</v>
      </c>
      <c r="D9" s="94">
        <v>0</v>
      </c>
      <c r="E9" s="93">
        <v>0</v>
      </c>
      <c r="F9" s="33">
        <f>IF(SUM(C9:E9)=0,(0),IF((((C9*C10*A4+D9*D10*A4+E9*E10*A4)+(G3/60*F3))*H3)&lt;I3,(I3),(((C9*C10*A4+D9*D10*A4+E9*E10*A4)+(G3/60*F3))*H3)))</f>
        <v>0</v>
      </c>
      <c r="G9" s="93">
        <v>0</v>
      </c>
      <c r="H9" s="145"/>
      <c r="I9" s="143">
        <f>H12</f>
        <v>0</v>
      </c>
    </row>
    <row r="10" spans="1:13" s="3" customFormat="1" hidden="1" x14ac:dyDescent="0.3">
      <c r="C10" s="3">
        <v>0.5</v>
      </c>
      <c r="D10" s="3">
        <v>0.33</v>
      </c>
      <c r="E10" s="3">
        <v>0.25</v>
      </c>
      <c r="G10" s="3">
        <v>0.5</v>
      </c>
    </row>
    <row r="11" spans="1:13" s="3" customFormat="1" ht="14.4" hidden="1" thickBot="1" x14ac:dyDescent="0.35">
      <c r="G11" s="9">
        <f>F9*G10*G9</f>
        <v>0</v>
      </c>
      <c r="H11" s="9"/>
    </row>
    <row r="12" spans="1:13" ht="16.2" hidden="1" thickBot="1" x14ac:dyDescent="0.35">
      <c r="G12" s="8"/>
      <c r="H12" s="44">
        <f>F9+G11</f>
        <v>0</v>
      </c>
    </row>
    <row r="13" spans="1:13" ht="3.75" customHeight="1" thickBot="1" x14ac:dyDescent="0.35">
      <c r="A13" s="50"/>
      <c r="B13" s="50"/>
      <c r="C13" s="50"/>
      <c r="D13" s="50"/>
      <c r="E13" s="50"/>
      <c r="F13" s="50"/>
      <c r="G13" s="53"/>
      <c r="H13" s="50"/>
      <c r="I13" s="50"/>
    </row>
    <row r="14" spans="1:13" ht="14.4" thickBot="1" x14ac:dyDescent="0.35">
      <c r="A14" s="332" t="s">
        <v>19</v>
      </c>
      <c r="B14" s="333"/>
      <c r="C14" s="333"/>
      <c r="D14" s="333"/>
      <c r="E14" s="333"/>
      <c r="F14" s="333"/>
      <c r="G14" s="333"/>
      <c r="H14" s="333"/>
      <c r="I14" s="334"/>
    </row>
    <row r="15" spans="1:13" x14ac:dyDescent="0.3">
      <c r="A15" s="335"/>
      <c r="B15" s="336"/>
      <c r="C15" s="336"/>
      <c r="D15" s="336"/>
      <c r="E15" s="336"/>
      <c r="F15" s="336"/>
      <c r="G15" s="336"/>
      <c r="H15" s="336"/>
      <c r="I15" s="337"/>
    </row>
    <row r="16" spans="1:13" ht="145.5" customHeight="1" thickBot="1" x14ac:dyDescent="0.35">
      <c r="A16" s="338"/>
      <c r="B16" s="339"/>
      <c r="C16" s="339"/>
      <c r="D16" s="339"/>
      <c r="E16" s="339"/>
      <c r="F16" s="339"/>
      <c r="G16" s="339"/>
      <c r="H16" s="339"/>
      <c r="I16" s="340"/>
    </row>
  </sheetData>
  <sheetProtection selectLockedCells="1"/>
  <mergeCells count="7">
    <mergeCell ref="A15:I16"/>
    <mergeCell ref="A6:I6"/>
    <mergeCell ref="F7:I7"/>
    <mergeCell ref="A14:I14"/>
    <mergeCell ref="K8:M8"/>
    <mergeCell ref="K7:M7"/>
    <mergeCell ref="A7:E7"/>
  </mergeCells>
  <conditionalFormatting sqref="F3">
    <cfRule type="cellIs" dxfId="6" priority="2" operator="lessThan">
      <formula>45</formula>
    </cfRule>
  </conditionalFormatting>
  <conditionalFormatting sqref="G9:H9">
    <cfRule type="colorScale" priority="3">
      <colorScale>
        <cfvo type="num" val="0"/>
        <cfvo type="num" val="1"/>
        <color theme="5" tint="0.39997558519241921"/>
        <color theme="6" tint="0.39997558519241921"/>
      </colorScale>
    </cfRule>
  </conditionalFormatting>
  <conditionalFormatting sqref="K8:M8">
    <cfRule type="cellIs" dxfId="5" priority="1" operator="lessThan">
      <formula>0.5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V24"/>
  <sheetViews>
    <sheetView topLeftCell="A2" workbookViewId="0">
      <selection activeCell="C9" sqref="C9"/>
    </sheetView>
  </sheetViews>
  <sheetFormatPr defaultColWidth="9.33203125" defaultRowHeight="13.8" x14ac:dyDescent="0.3"/>
  <cols>
    <col min="1" max="1" width="17" style="1" customWidth="1"/>
    <col min="2" max="2" width="54" style="1" customWidth="1"/>
    <col min="3" max="4" width="6" style="1" customWidth="1"/>
    <col min="5" max="5" width="14.6640625" style="1" customWidth="1"/>
    <col min="6" max="6" width="15.44140625" style="3" customWidth="1"/>
    <col min="7" max="8" width="15.44140625" style="1" customWidth="1"/>
    <col min="9" max="9" width="12.77734375" style="1" customWidth="1"/>
    <col min="10" max="12" width="11.77734375" style="1" customWidth="1"/>
    <col min="13" max="14" width="9.33203125" style="1"/>
    <col min="15" max="15" width="3.109375" style="1" customWidth="1"/>
    <col min="16" max="16" width="9.33203125" style="1"/>
    <col min="17" max="17" width="20.33203125" style="1" bestFit="1" customWidth="1"/>
    <col min="18" max="18" width="1.44140625" style="1" customWidth="1"/>
    <col min="19" max="16384" width="9.33203125" style="1"/>
  </cols>
  <sheetData>
    <row r="1" spans="1:22" hidden="1" x14ac:dyDescent="0.3"/>
    <row r="2" spans="1:22" ht="14.4" thickBot="1" x14ac:dyDescent="0.35">
      <c r="A2" s="50"/>
      <c r="B2" s="50"/>
      <c r="C2" s="50"/>
      <c r="D2" s="50"/>
      <c r="E2" s="250" t="s">
        <v>92</v>
      </c>
      <c r="F2" s="250" t="s">
        <v>14</v>
      </c>
      <c r="G2" s="250" t="s">
        <v>15</v>
      </c>
      <c r="H2" s="251" t="s">
        <v>58</v>
      </c>
      <c r="I2" s="244" t="s">
        <v>207</v>
      </c>
      <c r="J2" s="253">
        <v>30</v>
      </c>
      <c r="K2" s="246" t="s">
        <v>196</v>
      </c>
      <c r="L2" s="247"/>
      <c r="M2" s="247"/>
      <c r="N2" s="247"/>
      <c r="O2" s="247"/>
      <c r="P2" s="248">
        <f>J2/7.5</f>
        <v>4</v>
      </c>
      <c r="Q2" s="247" t="s">
        <v>205</v>
      </c>
      <c r="R2" s="247"/>
      <c r="S2" s="249">
        <f>E3/P2</f>
        <v>26</v>
      </c>
      <c r="T2" s="247" t="s">
        <v>203</v>
      </c>
      <c r="U2" s="247"/>
      <c r="V2" s="247"/>
    </row>
    <row r="3" spans="1:22" ht="14.4" thickBot="1" x14ac:dyDescent="0.35">
      <c r="A3" s="50"/>
      <c r="B3" s="50"/>
      <c r="C3" s="50"/>
      <c r="D3" s="245" t="s">
        <v>106</v>
      </c>
      <c r="E3" s="252">
        <v>104</v>
      </c>
      <c r="F3" s="103">
        <v>20</v>
      </c>
      <c r="G3" s="103">
        <v>1</v>
      </c>
      <c r="H3" s="18">
        <v>149</v>
      </c>
      <c r="I3" s="244" t="s">
        <v>207</v>
      </c>
      <c r="J3" s="254">
        <v>25</v>
      </c>
      <c r="K3" s="240" t="s">
        <v>197</v>
      </c>
      <c r="L3" s="241"/>
      <c r="M3" s="241"/>
      <c r="N3" s="241"/>
      <c r="O3" s="241"/>
      <c r="P3" s="242">
        <f>J3/7.5</f>
        <v>3.3333333333333335</v>
      </c>
      <c r="Q3" s="241" t="s">
        <v>206</v>
      </c>
      <c r="R3" s="241"/>
      <c r="S3" s="243">
        <f>E3/P3</f>
        <v>31.2</v>
      </c>
      <c r="T3" s="241" t="s">
        <v>204</v>
      </c>
      <c r="U3" s="241"/>
      <c r="V3" s="241"/>
    </row>
    <row r="4" spans="1:22" hidden="1" x14ac:dyDescent="0.3">
      <c r="A4" s="50">
        <f>E3</f>
        <v>104</v>
      </c>
      <c r="B4" s="50">
        <f>F3</f>
        <v>20</v>
      </c>
      <c r="C4" s="50">
        <f>G3</f>
        <v>1</v>
      </c>
      <c r="D4" s="50"/>
    </row>
    <row r="5" spans="1:22" ht="3.75" customHeight="1" thickBot="1" x14ac:dyDescent="0.35">
      <c r="A5" s="50"/>
      <c r="B5" s="50"/>
      <c r="C5" s="50"/>
      <c r="D5" s="50"/>
      <c r="E5" s="50"/>
      <c r="F5" s="53"/>
      <c r="G5" s="50"/>
      <c r="H5" s="50"/>
    </row>
    <row r="6" spans="1:22" ht="16.2" thickBot="1" x14ac:dyDescent="0.35">
      <c r="A6" s="377" t="s">
        <v>91</v>
      </c>
      <c r="B6" s="378"/>
      <c r="C6" s="378"/>
      <c r="D6" s="378"/>
      <c r="E6" s="378"/>
      <c r="F6" s="378"/>
      <c r="G6" s="378"/>
      <c r="H6" s="379"/>
    </row>
    <row r="7" spans="1:22" ht="16.2" thickBot="1" x14ac:dyDescent="0.35">
      <c r="A7" s="34"/>
      <c r="B7" s="35"/>
      <c r="C7" s="234"/>
      <c r="D7" s="235"/>
      <c r="E7" s="380" t="s">
        <v>76</v>
      </c>
      <c r="F7" s="381"/>
      <c r="G7" s="381"/>
      <c r="H7" s="382"/>
      <c r="J7" s="386" t="s">
        <v>109</v>
      </c>
      <c r="K7" s="387"/>
      <c r="L7" s="388"/>
    </row>
    <row r="8" spans="1:22" ht="123.75" customHeight="1" thickBot="1" x14ac:dyDescent="0.35">
      <c r="A8" s="20" t="s">
        <v>0</v>
      </c>
      <c r="B8" s="41" t="s">
        <v>1</v>
      </c>
      <c r="C8" s="236" t="s">
        <v>86</v>
      </c>
      <c r="D8" s="237" t="s">
        <v>87</v>
      </c>
      <c r="E8" s="45" t="s">
        <v>88</v>
      </c>
      <c r="F8" s="238" t="s">
        <v>32</v>
      </c>
      <c r="G8" s="238" t="s">
        <v>62</v>
      </c>
      <c r="H8" s="239" t="s">
        <v>59</v>
      </c>
      <c r="I8" s="32"/>
      <c r="J8" s="383">
        <f>1-2*OVERVIEW!K6/DAMPERS!E3</f>
        <v>0.50096153846153846</v>
      </c>
      <c r="K8" s="384"/>
      <c r="L8" s="385"/>
    </row>
    <row r="9" spans="1:22" s="6" customFormat="1" ht="16.2" thickBot="1" x14ac:dyDescent="0.3">
      <c r="A9" s="104">
        <f>OVERVIEW!B2</f>
        <v>0</v>
      </c>
      <c r="B9" s="19">
        <f>OVERVIEW!B1</f>
        <v>0</v>
      </c>
      <c r="C9" s="92">
        <v>0</v>
      </c>
      <c r="D9" s="94">
        <v>0</v>
      </c>
      <c r="E9" s="33">
        <f>IF(SUM(C9:D9)=0,(0),IF((((C9*C10*A4+D9*D10*A4)+(F3/60*E3))*G3)&lt;H3,(H3),(((C9*C10*A4+D9*D10*A4)+(F3/60*E3))*G3)))</f>
        <v>0</v>
      </c>
      <c r="F9" s="227">
        <v>0</v>
      </c>
      <c r="G9" s="232">
        <v>0</v>
      </c>
      <c r="H9" s="233">
        <f>G12</f>
        <v>0</v>
      </c>
    </row>
    <row r="10" spans="1:22" s="3" customFormat="1" hidden="1" x14ac:dyDescent="0.3">
      <c r="C10" s="3">
        <f>1/P2</f>
        <v>0.25</v>
      </c>
      <c r="D10" s="3">
        <f>1/P3</f>
        <v>0.3</v>
      </c>
      <c r="F10" s="3">
        <v>0.5</v>
      </c>
      <c r="G10" s="3">
        <v>1.25</v>
      </c>
    </row>
    <row r="11" spans="1:22" s="3" customFormat="1" ht="14.4" hidden="1" thickBot="1" x14ac:dyDescent="0.35">
      <c r="F11" s="9">
        <f>E9*F10*F9</f>
        <v>0</v>
      </c>
      <c r="G11" s="9">
        <f>G10*G9</f>
        <v>0</v>
      </c>
    </row>
    <row r="12" spans="1:22" ht="16.2" thickBot="1" x14ac:dyDescent="0.35">
      <c r="F12" s="8" t="s">
        <v>30</v>
      </c>
      <c r="G12" s="44">
        <f>E9+F11+G11</f>
        <v>0</v>
      </c>
    </row>
    <row r="13" spans="1:22" ht="3.75" customHeight="1" thickBot="1" x14ac:dyDescent="0.35">
      <c r="A13" s="50"/>
      <c r="B13" s="50"/>
      <c r="C13" s="50"/>
      <c r="D13" s="50"/>
      <c r="E13" s="50"/>
      <c r="F13" s="53"/>
      <c r="G13" s="50"/>
      <c r="H13" s="50"/>
    </row>
    <row r="14" spans="1:22" ht="14.4" thickBot="1" x14ac:dyDescent="0.35">
      <c r="A14" s="332" t="s">
        <v>19</v>
      </c>
      <c r="B14" s="333"/>
      <c r="C14" s="333"/>
      <c r="D14" s="333"/>
      <c r="E14" s="333"/>
      <c r="F14" s="333"/>
      <c r="G14" s="333"/>
      <c r="H14" s="334"/>
    </row>
    <row r="15" spans="1:22" x14ac:dyDescent="0.3">
      <c r="A15" s="335"/>
      <c r="B15" s="336"/>
      <c r="C15" s="336"/>
      <c r="D15" s="336"/>
      <c r="E15" s="336"/>
      <c r="F15" s="336"/>
      <c r="G15" s="336"/>
      <c r="H15" s="337"/>
    </row>
    <row r="16" spans="1:22" ht="145.5" customHeight="1" thickBot="1" x14ac:dyDescent="0.35">
      <c r="A16" s="338"/>
      <c r="B16" s="339"/>
      <c r="C16" s="339"/>
      <c r="D16" s="339"/>
      <c r="E16" s="339"/>
      <c r="F16" s="339"/>
      <c r="G16" s="339"/>
      <c r="H16" s="340"/>
    </row>
    <row r="19" spans="7:8" hidden="1" x14ac:dyDescent="0.3">
      <c r="G19" s="230">
        <v>194.63</v>
      </c>
      <c r="H19" s="1" t="s">
        <v>198</v>
      </c>
    </row>
    <row r="20" spans="7:8" hidden="1" x14ac:dyDescent="0.3">
      <c r="G20" s="230">
        <f>G19*2</f>
        <v>389.26</v>
      </c>
      <c r="H20" s="1" t="s">
        <v>199</v>
      </c>
    </row>
    <row r="21" spans="7:8" hidden="1" x14ac:dyDescent="0.3">
      <c r="G21" s="230">
        <v>130</v>
      </c>
      <c r="H21" s="1" t="s">
        <v>201</v>
      </c>
    </row>
    <row r="22" spans="7:8" hidden="1" x14ac:dyDescent="0.3">
      <c r="G22" s="230">
        <f>G21*7.5</f>
        <v>975</v>
      </c>
      <c r="H22" s="1" t="s">
        <v>202</v>
      </c>
    </row>
    <row r="23" spans="7:8" hidden="1" x14ac:dyDescent="0.3"/>
    <row r="24" spans="7:8" hidden="1" x14ac:dyDescent="0.3">
      <c r="G24" s="231">
        <f>1-G20/G22</f>
        <v>0.6007589743589743</v>
      </c>
      <c r="H24" s="1" t="s">
        <v>200</v>
      </c>
    </row>
  </sheetData>
  <sheetProtection selectLockedCells="1"/>
  <mergeCells count="6">
    <mergeCell ref="A6:H6"/>
    <mergeCell ref="E7:H7"/>
    <mergeCell ref="A14:H14"/>
    <mergeCell ref="A15:H16"/>
    <mergeCell ref="J8:L8"/>
    <mergeCell ref="J7:L7"/>
  </mergeCells>
  <conditionalFormatting sqref="E3">
    <cfRule type="cellIs" dxfId="4" priority="1" operator="lessThan">
      <formula>65</formula>
    </cfRule>
  </conditionalFormatting>
  <conditionalFormatting sqref="F9:G9">
    <cfRule type="colorScale" priority="2">
      <colorScale>
        <cfvo type="num" val="0"/>
        <cfvo type="num" val="1"/>
        <color theme="5" tint="0.39997558519241921"/>
        <color theme="6" tint="0.39997558519241921"/>
      </colorScale>
    </cfRule>
  </conditionalFormatting>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A35"/>
  <sheetViews>
    <sheetView zoomScaleNormal="100" workbookViewId="0">
      <selection activeCell="D4" sqref="D4"/>
    </sheetView>
  </sheetViews>
  <sheetFormatPr defaultColWidth="9.33203125" defaultRowHeight="13.8" x14ac:dyDescent="0.3"/>
  <cols>
    <col min="1" max="1" width="17" style="1" customWidth="1"/>
    <col min="2" max="2" width="43.109375" style="1" customWidth="1"/>
    <col min="3" max="3" width="20.6640625" style="1" customWidth="1"/>
    <col min="4" max="16" width="5.33203125" style="1" customWidth="1"/>
    <col min="17" max="17" width="15.44140625" style="1" customWidth="1"/>
    <col min="18" max="18" width="5.77734375" style="1" customWidth="1"/>
    <col min="19" max="20" width="15.44140625" style="1" customWidth="1"/>
    <col min="21" max="21" width="9.33203125" style="1"/>
    <col min="22" max="23" width="11.109375" style="1" customWidth="1"/>
    <col min="24" max="24" width="12.6640625" style="1" customWidth="1"/>
    <col min="25" max="27" width="11" style="213" hidden="1" customWidth="1"/>
    <col min="28" max="29" width="9.33203125" style="1"/>
    <col min="30" max="30" width="15" style="1" bestFit="1" customWidth="1"/>
    <col min="31" max="31" width="28.77734375" style="1" bestFit="1" customWidth="1"/>
    <col min="32" max="16384" width="9.33203125" style="1"/>
  </cols>
  <sheetData>
    <row r="1" spans="1:27" ht="16.2" thickBot="1" x14ac:dyDescent="0.35">
      <c r="A1" s="415" t="s">
        <v>157</v>
      </c>
      <c r="B1" s="416"/>
      <c r="C1" s="416"/>
      <c r="D1" s="416"/>
      <c r="E1" s="416"/>
      <c r="F1" s="416"/>
      <c r="G1" s="416"/>
      <c r="H1" s="416"/>
      <c r="I1" s="416"/>
      <c r="J1" s="416"/>
      <c r="K1" s="416"/>
      <c r="L1" s="416"/>
      <c r="M1" s="416"/>
      <c r="N1" s="416"/>
      <c r="O1" s="416"/>
      <c r="P1" s="416"/>
      <c r="Q1" s="416"/>
      <c r="R1" s="416"/>
      <c r="S1" s="416"/>
      <c r="T1" s="417"/>
    </row>
    <row r="2" spans="1:27" ht="15.6" x14ac:dyDescent="0.3">
      <c r="A2" s="397"/>
      <c r="B2" s="398"/>
      <c r="C2" s="398"/>
      <c r="D2" s="179" t="s">
        <v>161</v>
      </c>
      <c r="E2" s="391" t="s">
        <v>158</v>
      </c>
      <c r="F2" s="392"/>
      <c r="G2" s="392"/>
      <c r="H2" s="392"/>
      <c r="I2" s="393"/>
      <c r="J2" s="394" t="s">
        <v>159</v>
      </c>
      <c r="K2" s="395"/>
      <c r="L2" s="396"/>
      <c r="M2" s="391" t="s">
        <v>160</v>
      </c>
      <c r="N2" s="392"/>
      <c r="O2" s="392"/>
      <c r="P2" s="393"/>
      <c r="Q2" s="389" t="s">
        <v>76</v>
      </c>
      <c r="R2" s="389"/>
      <c r="S2" s="389"/>
      <c r="T2" s="390"/>
      <c r="V2" s="418" t="s">
        <v>162</v>
      </c>
      <c r="W2" s="419"/>
      <c r="X2" s="420"/>
    </row>
    <row r="3" spans="1:27" ht="118.2" thickBot="1" x14ac:dyDescent="0.35">
      <c r="A3" s="78" t="s">
        <v>0</v>
      </c>
      <c r="B3" s="20" t="s">
        <v>1</v>
      </c>
      <c r="C3" s="41" t="s">
        <v>54</v>
      </c>
      <c r="D3" s="180" t="s">
        <v>128</v>
      </c>
      <c r="E3" s="186" t="s">
        <v>129</v>
      </c>
      <c r="F3" s="187" t="s">
        <v>130</v>
      </c>
      <c r="G3" s="187" t="s">
        <v>131</v>
      </c>
      <c r="H3" s="187" t="s">
        <v>132</v>
      </c>
      <c r="I3" s="188" t="s">
        <v>133</v>
      </c>
      <c r="J3" s="182" t="s">
        <v>134</v>
      </c>
      <c r="K3" s="183" t="s">
        <v>135</v>
      </c>
      <c r="L3" s="184" t="s">
        <v>136</v>
      </c>
      <c r="M3" s="186" t="s">
        <v>137</v>
      </c>
      <c r="N3" s="187" t="s">
        <v>138</v>
      </c>
      <c r="O3" s="187" t="s">
        <v>139</v>
      </c>
      <c r="P3" s="188" t="s">
        <v>140</v>
      </c>
      <c r="Q3" s="405" t="s">
        <v>163</v>
      </c>
      <c r="R3" s="405"/>
      <c r="S3" s="406"/>
      <c r="T3" s="79" t="s">
        <v>59</v>
      </c>
      <c r="V3" s="302" t="str">
        <f>IF($Q$4+$T$11=0,"0%",1-(($Q$6+$Q$9+$Q$11)/($Q$5+$Q$8+$T$11)))</f>
        <v>0%</v>
      </c>
      <c r="W3" s="303"/>
      <c r="X3" s="304"/>
      <c r="Y3" s="412" t="str">
        <f>IF($Q$4+$Q$7+$T$11=0,"0%",1-(($Q$6+$Q$9+$Q$11)/(OVERVIEW!E18+OVERVIEW!E19+OVERVIEW!E20)))</f>
        <v>0%</v>
      </c>
      <c r="Z3" s="413"/>
      <c r="AA3" s="414"/>
    </row>
    <row r="4" spans="1:27" ht="16.2" thickBot="1" x14ac:dyDescent="0.35">
      <c r="A4" s="102">
        <f>OVERVIEW!B2</f>
        <v>0</v>
      </c>
      <c r="B4" s="19">
        <f>OVERVIEW!B1</f>
        <v>0</v>
      </c>
      <c r="C4" s="159" t="s">
        <v>164</v>
      </c>
      <c r="D4" s="178">
        <v>0</v>
      </c>
      <c r="E4" s="181">
        <v>0</v>
      </c>
      <c r="F4" s="181">
        <v>0</v>
      </c>
      <c r="G4" s="181">
        <v>0</v>
      </c>
      <c r="H4" s="181">
        <v>0</v>
      </c>
      <c r="I4" s="181">
        <v>0</v>
      </c>
      <c r="J4" s="181">
        <v>0</v>
      </c>
      <c r="K4" s="181">
        <v>0</v>
      </c>
      <c r="L4" s="181">
        <v>0</v>
      </c>
      <c r="M4" s="181">
        <v>0</v>
      </c>
      <c r="N4" s="181">
        <v>0</v>
      </c>
      <c r="O4" s="181">
        <v>0</v>
      </c>
      <c r="P4" s="185">
        <v>0</v>
      </c>
      <c r="Q4" s="407">
        <f>Q5</f>
        <v>0</v>
      </c>
      <c r="R4" s="407"/>
      <c r="S4" s="408"/>
      <c r="T4" s="26">
        <f>Q4</f>
        <v>0</v>
      </c>
      <c r="U4" s="6"/>
      <c r="V4" s="6"/>
      <c r="W4" s="6"/>
      <c r="X4" s="6"/>
    </row>
    <row r="5" spans="1:27" ht="16.2" hidden="1" thickBot="1" x14ac:dyDescent="0.35">
      <c r="A5" s="80"/>
      <c r="B5" s="3"/>
      <c r="C5" s="157" t="s">
        <v>156</v>
      </c>
      <c r="D5" s="155">
        <f>D4*T23</f>
        <v>0</v>
      </c>
      <c r="E5" s="155">
        <f>E4*T24</f>
        <v>0</v>
      </c>
      <c r="F5" s="177">
        <f>F4*T25</f>
        <v>0</v>
      </c>
      <c r="G5" s="155">
        <f>G4*T26</f>
        <v>0</v>
      </c>
      <c r="H5" s="155">
        <f>H4*T27</f>
        <v>0</v>
      </c>
      <c r="I5" s="155">
        <f>I4*T28</f>
        <v>0</v>
      </c>
      <c r="J5" s="177">
        <f>J4*T29</f>
        <v>0</v>
      </c>
      <c r="K5" s="155">
        <f>K4*T30</f>
        <v>0</v>
      </c>
      <c r="L5" s="155">
        <f>L4*T31</f>
        <v>0</v>
      </c>
      <c r="M5" s="155">
        <f>M4*T32</f>
        <v>0</v>
      </c>
      <c r="N5" s="177">
        <f>N4*T33</f>
        <v>0</v>
      </c>
      <c r="O5" s="155">
        <f>O4*T34</f>
        <v>0</v>
      </c>
      <c r="P5" s="155">
        <f>P4*T35</f>
        <v>0</v>
      </c>
      <c r="Q5" s="167">
        <f>SUM(D5:P5)</f>
        <v>0</v>
      </c>
      <c r="R5" s="159"/>
      <c r="S5" s="168"/>
      <c r="T5" s="26">
        <f t="shared" ref="T5" si="0">S13</f>
        <v>0</v>
      </c>
      <c r="U5" s="3"/>
      <c r="V5" s="3"/>
      <c r="W5" s="3"/>
      <c r="X5" s="3"/>
    </row>
    <row r="6" spans="1:27" ht="16.2" hidden="1" thickBot="1" x14ac:dyDescent="0.35">
      <c r="A6" s="80"/>
      <c r="B6" s="3"/>
      <c r="C6" s="157" t="s">
        <v>126</v>
      </c>
      <c r="D6" s="155">
        <f>D4*S23</f>
        <v>0</v>
      </c>
      <c r="E6" s="155">
        <f>E4*S24</f>
        <v>0</v>
      </c>
      <c r="F6" s="155">
        <f>F4*S25</f>
        <v>0</v>
      </c>
      <c r="G6" s="177">
        <f>G4*S26</f>
        <v>0</v>
      </c>
      <c r="H6" s="155">
        <f>H4*S27</f>
        <v>0</v>
      </c>
      <c r="I6" s="155">
        <f>I4*S28</f>
        <v>0</v>
      </c>
      <c r="J6" s="155">
        <f>J4*S29</f>
        <v>0</v>
      </c>
      <c r="K6" s="177">
        <f>K4*S30</f>
        <v>0</v>
      </c>
      <c r="L6" s="155">
        <f>L4*S31</f>
        <v>0</v>
      </c>
      <c r="M6" s="155">
        <f>M4*S32</f>
        <v>0</v>
      </c>
      <c r="N6" s="155">
        <f>N4*S33</f>
        <v>0</v>
      </c>
      <c r="O6" s="177">
        <f>O4*S34</f>
        <v>0</v>
      </c>
      <c r="P6" s="155">
        <f>P4*S35</f>
        <v>0</v>
      </c>
      <c r="Q6" s="167">
        <f>SUM(D6:P6)</f>
        <v>0</v>
      </c>
      <c r="R6" s="159"/>
      <c r="S6" s="168"/>
      <c r="T6" s="26">
        <f>S15</f>
        <v>0</v>
      </c>
      <c r="U6" s="3"/>
      <c r="V6" s="3"/>
      <c r="W6" s="3"/>
      <c r="X6" s="3"/>
    </row>
    <row r="7" spans="1:27" ht="16.2" thickBot="1" x14ac:dyDescent="0.35">
      <c r="A7" s="80"/>
      <c r="B7" s="3"/>
      <c r="C7" s="158" t="s">
        <v>165</v>
      </c>
      <c r="D7" s="99">
        <v>0</v>
      </c>
      <c r="E7" s="2">
        <v>0</v>
      </c>
      <c r="F7" s="2">
        <v>0</v>
      </c>
      <c r="G7" s="2">
        <v>0</v>
      </c>
      <c r="H7" s="2">
        <v>0</v>
      </c>
      <c r="I7" s="2">
        <v>0</v>
      </c>
      <c r="J7" s="2">
        <v>0</v>
      </c>
      <c r="K7" s="2">
        <v>0</v>
      </c>
      <c r="L7" s="2">
        <v>0</v>
      </c>
      <c r="M7" s="2">
        <v>0</v>
      </c>
      <c r="N7" s="2">
        <v>0</v>
      </c>
      <c r="O7" s="2">
        <v>0</v>
      </c>
      <c r="P7" s="7">
        <v>0</v>
      </c>
      <c r="Q7" s="407">
        <f>Q8</f>
        <v>0</v>
      </c>
      <c r="R7" s="407"/>
      <c r="S7" s="408"/>
      <c r="T7" s="26">
        <f>Q7</f>
        <v>0</v>
      </c>
      <c r="U7" s="3"/>
      <c r="V7" s="3"/>
      <c r="W7" s="3"/>
      <c r="X7" s="3"/>
    </row>
    <row r="8" spans="1:27" hidden="1" x14ac:dyDescent="0.3">
      <c r="A8" s="80"/>
      <c r="B8" s="3"/>
      <c r="C8" s="156" t="s">
        <v>156</v>
      </c>
      <c r="D8" s="155">
        <f>D7*T23</f>
        <v>0</v>
      </c>
      <c r="E8" s="155">
        <f>E7*T24</f>
        <v>0</v>
      </c>
      <c r="F8" s="177">
        <f>F7*T25</f>
        <v>0</v>
      </c>
      <c r="G8" s="155">
        <f>G7*T26</f>
        <v>0</v>
      </c>
      <c r="H8" s="9">
        <f>H7*T27</f>
        <v>0</v>
      </c>
      <c r="I8" s="155">
        <f>I7*T28</f>
        <v>0</v>
      </c>
      <c r="J8" s="177">
        <f>J7*T29</f>
        <v>0</v>
      </c>
      <c r="K8" s="155">
        <f>K7*T30</f>
        <v>0</v>
      </c>
      <c r="L8" s="155">
        <f>L7*T31</f>
        <v>0</v>
      </c>
      <c r="M8" s="155">
        <f>M7*T32</f>
        <v>0</v>
      </c>
      <c r="N8" s="177">
        <f>N7*T33</f>
        <v>0</v>
      </c>
      <c r="O8" s="155">
        <f>O7*T34</f>
        <v>0</v>
      </c>
      <c r="P8" s="155">
        <f>P7*T35</f>
        <v>0</v>
      </c>
      <c r="Q8" s="9">
        <f>SUM(D8:P8)</f>
        <v>0</v>
      </c>
      <c r="R8" s="3"/>
      <c r="S8" s="3"/>
      <c r="T8" s="81"/>
      <c r="U8" s="3"/>
      <c r="V8" s="3"/>
      <c r="W8" s="3"/>
      <c r="X8" s="3"/>
    </row>
    <row r="9" spans="1:27" ht="14.4" hidden="1" thickBot="1" x14ac:dyDescent="0.35">
      <c r="A9" s="80"/>
      <c r="B9" s="3"/>
      <c r="C9" s="156" t="s">
        <v>126</v>
      </c>
      <c r="D9" s="155">
        <f>D7*S23</f>
        <v>0</v>
      </c>
      <c r="E9" s="155">
        <f>E7*S24</f>
        <v>0</v>
      </c>
      <c r="F9" s="155">
        <f>F7*S25</f>
        <v>0</v>
      </c>
      <c r="G9" s="177">
        <f>G7*S26</f>
        <v>0</v>
      </c>
      <c r="H9" s="155">
        <f>H7*S27</f>
        <v>0</v>
      </c>
      <c r="I9" s="155">
        <f>I7*S28</f>
        <v>0</v>
      </c>
      <c r="J9" s="155">
        <f>J7*S29</f>
        <v>0</v>
      </c>
      <c r="K9" s="177">
        <f>K7*S30</f>
        <v>0</v>
      </c>
      <c r="L9" s="155">
        <f>L7*S31</f>
        <v>0</v>
      </c>
      <c r="M9" s="155">
        <f>M7*S32</f>
        <v>0</v>
      </c>
      <c r="N9" s="155">
        <f>N7*S33</f>
        <v>0</v>
      </c>
      <c r="O9" s="177">
        <f>O7*S34</f>
        <v>0</v>
      </c>
      <c r="P9" s="155">
        <f>P7*S35</f>
        <v>0</v>
      </c>
      <c r="Q9" s="9">
        <f>SUM(D9:P9)</f>
        <v>0</v>
      </c>
      <c r="R9" s="9">
        <f>Q4*R5*R4</f>
        <v>0</v>
      </c>
      <c r="S9" s="9">
        <f>S4*S5*Q4</f>
        <v>0</v>
      </c>
      <c r="T9" s="81"/>
      <c r="U9" s="3"/>
      <c r="V9" s="3"/>
      <c r="W9" s="3"/>
      <c r="X9" s="3"/>
    </row>
    <row r="10" spans="1:27" ht="14.4" thickBot="1" x14ac:dyDescent="0.35">
      <c r="A10" s="80"/>
      <c r="B10" s="3"/>
      <c r="C10" s="161"/>
      <c r="D10" s="162"/>
      <c r="E10" s="162"/>
      <c r="F10" s="162"/>
      <c r="G10" s="163"/>
      <c r="H10" s="162"/>
      <c r="I10" s="162"/>
      <c r="J10" s="162"/>
      <c r="K10" s="163"/>
      <c r="L10" s="162"/>
      <c r="M10" s="162"/>
      <c r="N10" s="162"/>
      <c r="O10" s="163"/>
      <c r="P10" s="162"/>
      <c r="Q10" s="401" t="s">
        <v>168</v>
      </c>
      <c r="R10" s="402"/>
      <c r="S10" s="165" t="s">
        <v>167</v>
      </c>
      <c r="T10" s="166" t="s">
        <v>156</v>
      </c>
      <c r="U10" s="3"/>
      <c r="V10" s="3"/>
      <c r="W10" s="3"/>
      <c r="X10" s="3"/>
    </row>
    <row r="11" spans="1:27" ht="16.2" thickBot="1" x14ac:dyDescent="0.35">
      <c r="A11" s="80"/>
      <c r="B11" s="3"/>
      <c r="C11" s="164" t="s">
        <v>118</v>
      </c>
      <c r="D11" s="399" t="s">
        <v>166</v>
      </c>
      <c r="E11" s="400"/>
      <c r="F11" s="400"/>
      <c r="G11" s="400"/>
      <c r="H11" s="400"/>
      <c r="I11" s="400"/>
      <c r="J11" s="400"/>
      <c r="K11" s="400"/>
      <c r="L11" s="400"/>
      <c r="M11" s="400"/>
      <c r="N11" s="400"/>
      <c r="O11" s="400"/>
      <c r="P11" s="400"/>
      <c r="Q11" s="403">
        <v>0</v>
      </c>
      <c r="R11" s="404"/>
      <c r="S11" s="169">
        <v>0.5</v>
      </c>
      <c r="T11" s="26">
        <f>Q11/(1-S11)</f>
        <v>0</v>
      </c>
      <c r="U11" s="3"/>
      <c r="V11" s="3"/>
      <c r="W11" s="3"/>
      <c r="X11" s="3"/>
    </row>
    <row r="12" spans="1:27" ht="16.2" thickBot="1" x14ac:dyDescent="0.35">
      <c r="A12" s="76"/>
      <c r="R12" s="8" t="s">
        <v>30</v>
      </c>
      <c r="S12" s="160">
        <f>T4+T7+T11</f>
        <v>0</v>
      </c>
      <c r="T12" s="65"/>
    </row>
    <row r="13" spans="1:27" hidden="1" x14ac:dyDescent="0.3">
      <c r="A13" s="82"/>
      <c r="B13" s="50"/>
      <c r="C13" s="50"/>
      <c r="D13" s="50"/>
      <c r="E13" s="50"/>
      <c r="F13" s="50"/>
      <c r="G13" s="50"/>
      <c r="H13" s="50"/>
      <c r="I13" s="50"/>
      <c r="J13" s="50"/>
      <c r="K13" s="50"/>
      <c r="L13" s="50"/>
      <c r="M13" s="50"/>
      <c r="N13" s="50"/>
      <c r="O13" s="50"/>
      <c r="P13" s="50"/>
      <c r="Q13" s="50"/>
      <c r="R13" s="53"/>
      <c r="S13" s="50"/>
      <c r="T13" s="84"/>
    </row>
    <row r="14" spans="1:27" ht="14.4" thickBot="1" x14ac:dyDescent="0.35">
      <c r="A14" s="409" t="s">
        <v>185</v>
      </c>
      <c r="B14" s="410"/>
      <c r="C14" s="410"/>
      <c r="D14" s="410"/>
      <c r="E14" s="410"/>
      <c r="F14" s="410"/>
      <c r="G14" s="410"/>
      <c r="H14" s="410"/>
      <c r="I14" s="410"/>
      <c r="J14" s="410"/>
      <c r="K14" s="410"/>
      <c r="L14" s="410"/>
      <c r="M14" s="410"/>
      <c r="N14" s="410"/>
      <c r="O14" s="410"/>
      <c r="P14" s="410"/>
      <c r="Q14" s="410"/>
      <c r="R14" s="410"/>
      <c r="S14" s="410"/>
      <c r="T14" s="411"/>
    </row>
    <row r="15" spans="1:27" ht="14.4" thickBot="1" x14ac:dyDescent="0.35">
      <c r="A15" s="332" t="s">
        <v>19</v>
      </c>
      <c r="B15" s="333"/>
      <c r="C15" s="333"/>
      <c r="D15" s="333"/>
      <c r="E15" s="333"/>
      <c r="F15" s="333"/>
      <c r="G15" s="333"/>
      <c r="H15" s="333"/>
      <c r="I15" s="333"/>
      <c r="J15" s="333"/>
      <c r="K15" s="333"/>
      <c r="L15" s="333"/>
      <c r="M15" s="333"/>
      <c r="N15" s="333"/>
      <c r="O15" s="333"/>
      <c r="P15" s="333"/>
      <c r="Q15" s="333"/>
      <c r="R15" s="333"/>
      <c r="S15" s="333"/>
      <c r="T15" s="334"/>
    </row>
    <row r="16" spans="1:27" x14ac:dyDescent="0.3">
      <c r="A16" s="335"/>
      <c r="B16" s="336"/>
      <c r="C16" s="336"/>
      <c r="D16" s="336"/>
      <c r="E16" s="336"/>
      <c r="F16" s="336"/>
      <c r="G16" s="336"/>
      <c r="H16" s="336"/>
      <c r="I16" s="336"/>
      <c r="J16" s="336"/>
      <c r="K16" s="336"/>
      <c r="L16" s="336"/>
      <c r="M16" s="336"/>
      <c r="N16" s="336"/>
      <c r="O16" s="336"/>
      <c r="P16" s="336"/>
      <c r="Q16" s="336"/>
      <c r="R16" s="336"/>
      <c r="S16" s="336"/>
      <c r="T16" s="337"/>
    </row>
    <row r="17" spans="1:20" ht="152.25" customHeight="1" thickBot="1" x14ac:dyDescent="0.35">
      <c r="A17" s="338"/>
      <c r="B17" s="339"/>
      <c r="C17" s="339"/>
      <c r="D17" s="339"/>
      <c r="E17" s="339"/>
      <c r="F17" s="339"/>
      <c r="G17" s="339"/>
      <c r="H17" s="339"/>
      <c r="I17" s="339"/>
      <c r="J17" s="339"/>
      <c r="K17" s="339"/>
      <c r="L17" s="339"/>
      <c r="M17" s="339"/>
      <c r="N17" s="339"/>
      <c r="O17" s="339"/>
      <c r="P17" s="339"/>
      <c r="Q17" s="339"/>
      <c r="R17" s="339"/>
      <c r="S17" s="339"/>
      <c r="T17" s="340"/>
    </row>
    <row r="18" spans="1:20" x14ac:dyDescent="0.3">
      <c r="R18" s="3"/>
    </row>
    <row r="19" spans="1:20" ht="13.5" customHeight="1" x14ac:dyDescent="0.3">
      <c r="R19" s="3"/>
    </row>
    <row r="20" spans="1:20" ht="12.75" customHeight="1" x14ac:dyDescent="0.3">
      <c r="R20" s="3"/>
    </row>
    <row r="22" spans="1:20" ht="14.4" hidden="1" x14ac:dyDescent="0.3">
      <c r="C22" s="170"/>
      <c r="Q22" s="171" t="s">
        <v>154</v>
      </c>
      <c r="R22" s="171" t="s">
        <v>155</v>
      </c>
      <c r="S22" s="171" t="s">
        <v>126</v>
      </c>
      <c r="T22" s="171" t="s">
        <v>156</v>
      </c>
    </row>
    <row r="23" spans="1:20" ht="14.4" hidden="1" x14ac:dyDescent="0.3">
      <c r="Q23" s="172" t="s">
        <v>141</v>
      </c>
      <c r="R23" s="172" t="s">
        <v>128</v>
      </c>
      <c r="S23" s="173">
        <v>20</v>
      </c>
      <c r="T23" s="173">
        <v>99</v>
      </c>
    </row>
    <row r="24" spans="1:20" ht="14.4" hidden="1" x14ac:dyDescent="0.3">
      <c r="Q24" s="172" t="s">
        <v>142</v>
      </c>
      <c r="R24" s="172" t="s">
        <v>129</v>
      </c>
      <c r="S24" s="173">
        <v>197.64</v>
      </c>
      <c r="T24" s="173">
        <v>399</v>
      </c>
    </row>
    <row r="25" spans="1:20" ht="14.4" hidden="1" x14ac:dyDescent="0.3">
      <c r="Q25" s="172" t="s">
        <v>143</v>
      </c>
      <c r="R25" s="172" t="s">
        <v>130</v>
      </c>
      <c r="S25" s="173">
        <v>98.4</v>
      </c>
      <c r="T25" s="173">
        <v>349</v>
      </c>
    </row>
    <row r="26" spans="1:20" ht="14.4" hidden="1" x14ac:dyDescent="0.3">
      <c r="Q26" s="172" t="s">
        <v>144</v>
      </c>
      <c r="R26" s="172" t="s">
        <v>131</v>
      </c>
      <c r="S26" s="173">
        <v>124.8</v>
      </c>
      <c r="T26" s="173">
        <v>375</v>
      </c>
    </row>
    <row r="27" spans="1:20" ht="14.4" hidden="1" x14ac:dyDescent="0.3">
      <c r="Q27" s="172" t="s">
        <v>145</v>
      </c>
      <c r="R27" s="172" t="s">
        <v>132</v>
      </c>
      <c r="S27" s="173">
        <v>119.4</v>
      </c>
      <c r="T27" s="173">
        <v>460</v>
      </c>
    </row>
    <row r="28" spans="1:20" ht="14.4" hidden="1" x14ac:dyDescent="0.3">
      <c r="Q28" s="172" t="s">
        <v>146</v>
      </c>
      <c r="R28" s="172" t="s">
        <v>133</v>
      </c>
      <c r="S28" s="173">
        <v>188.76</v>
      </c>
      <c r="T28" s="173">
        <v>460</v>
      </c>
    </row>
    <row r="29" spans="1:20" ht="14.4" hidden="1" x14ac:dyDescent="0.3">
      <c r="Q29" s="172" t="s">
        <v>147</v>
      </c>
      <c r="R29" s="172" t="s">
        <v>134</v>
      </c>
      <c r="S29" s="173">
        <v>97</v>
      </c>
      <c r="T29" s="173">
        <v>325</v>
      </c>
    </row>
    <row r="30" spans="1:20" ht="14.4" hidden="1" x14ac:dyDescent="0.3">
      <c r="Q30" s="172" t="s">
        <v>148</v>
      </c>
      <c r="R30" s="172" t="s">
        <v>135</v>
      </c>
      <c r="S30" s="173">
        <v>123</v>
      </c>
      <c r="T30" s="173">
        <v>350</v>
      </c>
    </row>
    <row r="31" spans="1:20" ht="14.4" hidden="1" x14ac:dyDescent="0.3">
      <c r="Q31" s="172" t="s">
        <v>149</v>
      </c>
      <c r="R31" s="172" t="s">
        <v>136</v>
      </c>
      <c r="S31" s="173">
        <v>149</v>
      </c>
      <c r="T31" s="173">
        <v>375</v>
      </c>
    </row>
    <row r="32" spans="1:20" ht="14.4" hidden="1" x14ac:dyDescent="0.3">
      <c r="D32" s="174"/>
      <c r="Q32" s="172" t="s">
        <v>150</v>
      </c>
      <c r="R32" s="172" t="s">
        <v>137</v>
      </c>
      <c r="S32" s="173">
        <v>45</v>
      </c>
      <c r="T32" s="173">
        <v>150</v>
      </c>
    </row>
    <row r="33" spans="17:20" ht="14.4" hidden="1" x14ac:dyDescent="0.3">
      <c r="Q33" s="172" t="s">
        <v>151</v>
      </c>
      <c r="R33" s="172" t="s">
        <v>138</v>
      </c>
      <c r="S33" s="173">
        <v>89</v>
      </c>
      <c r="T33" s="173">
        <v>350</v>
      </c>
    </row>
    <row r="34" spans="17:20" ht="14.4" hidden="1" x14ac:dyDescent="0.3">
      <c r="Q34" s="172" t="s">
        <v>152</v>
      </c>
      <c r="R34" s="172" t="s">
        <v>139</v>
      </c>
      <c r="S34" s="173">
        <v>140</v>
      </c>
      <c r="T34" s="173">
        <v>395</v>
      </c>
    </row>
    <row r="35" spans="17:20" ht="14.4" hidden="1" x14ac:dyDescent="0.3">
      <c r="Q35" s="172" t="s">
        <v>153</v>
      </c>
      <c r="R35" s="172" t="s">
        <v>140</v>
      </c>
      <c r="S35" s="173">
        <v>199</v>
      </c>
      <c r="T35" s="173">
        <v>450</v>
      </c>
    </row>
  </sheetData>
  <sheetProtection selectLockedCells="1"/>
  <mergeCells count="18">
    <mergeCell ref="Y3:AA3"/>
    <mergeCell ref="A1:T1"/>
    <mergeCell ref="V2:X2"/>
    <mergeCell ref="V3:X3"/>
    <mergeCell ref="A15:T15"/>
    <mergeCell ref="A16:T17"/>
    <mergeCell ref="Q2:T2"/>
    <mergeCell ref="M2:P2"/>
    <mergeCell ref="J2:L2"/>
    <mergeCell ref="E2:I2"/>
    <mergeCell ref="A2:C2"/>
    <mergeCell ref="D11:P11"/>
    <mergeCell ref="Q10:R10"/>
    <mergeCell ref="Q11:R11"/>
    <mergeCell ref="Q3:S3"/>
    <mergeCell ref="Q4:S4"/>
    <mergeCell ref="Q7:S7"/>
    <mergeCell ref="A14:T14"/>
  </mergeCells>
  <conditionalFormatting sqref="A14:T14">
    <cfRule type="expression" dxfId="3" priority="1">
      <formula>$T$7&gt;0</formula>
    </cfRule>
  </conditionalFormatting>
  <conditionalFormatting sqref="S11">
    <cfRule type="cellIs" dxfId="2" priority="2" operator="greaterThanOrEqual">
      <formula>0.35</formula>
    </cfRule>
    <cfRule type="cellIs" dxfId="1" priority="3" operator="lessThan">
      <formula>0.35</formula>
    </cfRule>
  </conditionalFormatting>
  <conditionalFormatting sqref="V3:AA3">
    <cfRule type="cellIs" dxfId="0" priority="4" operator="lessThan">
      <formula>0.5</formula>
    </cfRule>
  </conditionalFormatting>
  <pageMargins left="0.7" right="0.7" top="0.75" bottom="0.75" header="0.3" footer="0.3"/>
  <pageSetup paperSize="9"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OVERVIEW</vt:lpstr>
      <vt:lpstr>FIRE &amp; LIGHTS</vt:lpstr>
      <vt:lpstr>INTRUDER</vt:lpstr>
      <vt:lpstr>CCTV</vt:lpstr>
      <vt:lpstr>ACCESS</vt:lpstr>
      <vt:lpstr>DAMPERS</vt:lpstr>
      <vt:lpstr>MONITORING</vt:lpstr>
      <vt:lpstr>'FIRE &amp; LIGHTS'!Print_Area</vt:lpstr>
      <vt:lpstr>INTRUDER!Print_Area</vt:lpstr>
      <vt:lpstr>'FIRE &amp; LIGHTS'!Print_Titles</vt:lpstr>
      <vt:lpstr>INTRUDER!Print_Titles</vt:lpstr>
    </vt:vector>
  </TitlesOfParts>
  <Company>Pyrocel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MaintenanceCalculator</dc:title>
  <dc:subject>Maintenance Calculator</dc:subject>
  <dc:creator>Steve Rush</dc:creator>
  <cp:keywords>Service Sales</cp:keywords>
  <cp:lastModifiedBy>Steve Rush</cp:lastModifiedBy>
  <cp:lastPrinted>2002-05-31T10:56:28Z</cp:lastPrinted>
  <dcterms:created xsi:type="dcterms:W3CDTF">2002-05-24T11:39:19Z</dcterms:created>
  <dcterms:modified xsi:type="dcterms:W3CDTF">2026-07-07T00:47:46Z</dcterms:modified>
  <cp:category>Sales</cp:category>
  <cp:contentStatus>Live</cp:contentStatus>
</cp:coreProperties>
</file>